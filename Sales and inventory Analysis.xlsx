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442D5C9E-311C-4194-A95C-95C31AD83D3C}" xr6:coauthVersionLast="47" xr6:coauthVersionMax="47" xr10:uidLastSave="{00000000-0000-0000-0000-000000000000}"/>
  <bookViews>
    <workbookView xWindow="-120" yWindow="-120" windowWidth="20730" windowHeight="11160" firstSheet="1" activeTab="3" xr2:uid="{00000000-000D-0000-FFFF-FFFF00000000}"/>
  </bookViews>
  <sheets>
    <sheet name="Documentation" sheetId="4" r:id="rId1"/>
    <sheet name="Raw Data" sheetId="6" r:id="rId2"/>
    <sheet name="Cleaned Sales Inventory" sheetId="1" r:id="rId3"/>
    <sheet name="PQ_cleaned_sales_inventory" sheetId="5" r:id="rId4"/>
    <sheet name="Pivot Table Analysis" sheetId="3" r:id="rId5"/>
    <sheet name="Dashboard" sheetId="2" r:id="rId6"/>
  </sheets>
  <definedNames>
    <definedName name="_xlcn.WorksheetConnection_Raw_Sales_Inventory_Nigeria_Regions.xlsxPQ_cleaned_data1" hidden="1">PQ_cleaned_data[]</definedName>
    <definedName name="ExternalData_1" localSheetId="3" hidden="1">PQ_cleaned_sales_inventory!$A$1:$R$251</definedName>
    <definedName name="Slicer_Category">#N/A</definedName>
    <definedName name="Slicer_Product_Name">#N/A</definedName>
    <definedName name="Slicer_Region">#N/A</definedName>
    <definedName name="Timeline_Order_Date">#N/A</definedName>
  </definedNames>
  <calcPr calcId="191029"/>
  <pivotCaches>
    <pivotCache cacheId="301" r:id="rId7"/>
    <pivotCache cacheId="304" r:id="rId8"/>
    <pivotCache cacheId="307" r:id="rId9"/>
    <pivotCache cacheId="310" r:id="rId10"/>
    <pivotCache cacheId="313" r:id="rId11"/>
    <pivotCache cacheId="316" r:id="rId12"/>
    <pivotCache cacheId="319" r:id="rId13"/>
  </pivotCaches>
  <extLst>
    <ext xmlns:x14="http://schemas.microsoft.com/office/spreadsheetml/2009/9/main" uri="{876F7934-8845-4945-9796-88D515C7AA90}">
      <x14:pivotCaches>
        <pivotCache cacheId="76"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PQ_cleaned_data" name="PQ_cleaned_data" connection="WorksheetConnection_Raw_Sales_Inventory_Nigeria_Regions.xlsx!PQ_cleaned_data"/>
        </x15:modelTables>
        <x15:extLst>
          <ext xmlns:x16="http://schemas.microsoft.com/office/spreadsheetml/2014/11/main" uri="{9835A34E-60A6-4A7C-AAB8-D5F71C897F49}">
            <x16:modelTimeGroupings>
              <x16:modelTimeGrouping tableName="PQ_cleaned_data"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5" l="1"/>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B10" i="3"/>
  <c r="B13" i="3"/>
  <c r="B16" i="3"/>
  <c r="C5" i="2" l="1"/>
  <c r="N5" i="2"/>
  <c r="F5" i="2"/>
  <c r="J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ModelConnection_ExternalData_1" description="Data Model" type="5" refreshedVersion="2" background="1" saveData="1">
    <dbPr connection="Data Model Connection" command="Table1" commandType="3"/>
  </connection>
  <connection id="2" xr16:uid="{00000000-0015-0000-FFFF-FFFF01000000}" name="Query - Table1" description="Connection to the 'Table1' query in the workbook." type="5" refreshedVersion="2" saveData="1">
    <dbPr connection="" command=""/>
  </connection>
  <connection id="3" xr16:uid="{2407549C-C20A-4614-B812-116F6054B8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563FB13-DF26-4121-A4DE-35669C6CDE09}" name="WorksheetConnection_Raw_Sales_Inventory_Nigeria_Regions.xlsx!PQ_cleaned_data" type="102" refreshedVersion="8" minRefreshableVersion="5">
    <extLst>
      <ext xmlns:x15="http://schemas.microsoft.com/office/spreadsheetml/2010/11/main" uri="{DE250136-89BD-433C-8126-D09CA5730AF9}">
        <x15:connection id="PQ_cleaned_data" autoDelete="1">
          <x15:rangePr sourceName="_xlcn.WorksheetConnection_Raw_Sales_Inventory_Nigeria_Regions.xlsxPQ_cleaned_data1"/>
        </x15:connection>
      </ext>
    </extLst>
  </connection>
</connections>
</file>

<file path=xl/sharedStrings.xml><?xml version="1.0" encoding="utf-8"?>
<sst xmlns="http://schemas.openxmlformats.org/spreadsheetml/2006/main" count="4823" uniqueCount="373">
  <si>
    <t>Project Title</t>
  </si>
  <si>
    <t>Sales &amp; Inventory Analysis: Nigeria Regional Dataset</t>
  </si>
  <si>
    <t>Project Objective</t>
  </si>
  <si>
    <t xml:space="preserve">             This project analyzes sales and inventory patterns across different regions in Nigeria. </t>
  </si>
  <si>
    <t>The goal is to understand product performance, regional sales trends, customer behavior,</t>
  </si>
  <si>
    <t xml:space="preserve">and inventory risks to support data-driven business decisions.              </t>
  </si>
  <si>
    <t>Skills Demonstrated</t>
  </si>
  <si>
    <t>s</t>
  </si>
  <si>
    <t>Data cleaning &amp; preparation</t>
  </si>
  <si>
    <t xml:space="preserve">    Text standardization (PROPER)</t>
  </si>
  <si>
    <t xml:space="preserve">    Date formatting &amp; extraction (MONTH, YEAR, TEXT)</t>
  </si>
  <si>
    <t xml:space="preserve">Handling missing values         </t>
  </si>
  <si>
    <t xml:space="preserve">Pivot Table &amp; Pivot Charts      </t>
  </si>
  <si>
    <t xml:space="preserve">KPI Creation                                  </t>
  </si>
  <si>
    <t xml:space="preserve">Dashboards with slicers &amp; Timeline         </t>
  </si>
  <si>
    <t xml:space="preserve">  Advanced formulars (IF, XLOOKUP, UNIQUE)              </t>
  </si>
  <si>
    <t xml:space="preserve">  Conditional Formatting              </t>
  </si>
  <si>
    <t xml:space="preserve">  Data Validation                               </t>
  </si>
  <si>
    <t xml:space="preserve">Chart Formatting &amp; Storytelling                   </t>
  </si>
  <si>
    <t xml:space="preserve">Power Query                                   </t>
  </si>
  <si>
    <t xml:space="preserve">VBA Automation                            </t>
  </si>
  <si>
    <t>Tools Used</t>
  </si>
  <si>
    <t xml:space="preserve">Microsoft Excel                         </t>
  </si>
  <si>
    <t xml:space="preserve">PivotTables                                  </t>
  </si>
  <si>
    <t xml:space="preserve">PivotCharts                                  </t>
  </si>
  <si>
    <t>Dataset Description</t>
  </si>
  <si>
    <t>This dataset contains sales and inventory information for different products across</t>
  </si>
  <si>
    <t>Nigerian Regions. Key Columns include: Order ID, Order Date, Product ID, Product</t>
  </si>
  <si>
    <t xml:space="preserve">Name, Category, Region, Customer Name, Quantity sold, Unit price, Total sales,    </t>
  </si>
  <si>
    <t xml:space="preserve">Cost per unit, Total Cost, Profit, Inventory Remaining, Reorder Level                               </t>
  </si>
  <si>
    <t>Data Cleaning Summary</t>
  </si>
  <si>
    <t xml:space="preserve">      Replaced missing values using mode, mean imputation</t>
  </si>
  <si>
    <t xml:space="preserve">Standardized text Fields                                                                                </t>
  </si>
  <si>
    <t xml:space="preserve">Converted date into proper date formats                                               </t>
  </si>
  <si>
    <t xml:space="preserve">Added New columns (Month, Year, Quarter, etc.)                              </t>
  </si>
  <si>
    <t xml:space="preserve">Validated Data Integrity                                                                                 </t>
  </si>
  <si>
    <t>Business Questions Answered</t>
  </si>
  <si>
    <t xml:space="preserve">Which region generated the highest sales?                         </t>
  </si>
  <si>
    <t xml:space="preserve">What are the top-selling and lowest selling products?                         </t>
  </si>
  <si>
    <t xml:space="preserve">Which category perform best across regions?                     </t>
  </si>
  <si>
    <t xml:space="preserve">What is the monthly/quarterly sales trend?                         </t>
  </si>
  <si>
    <t xml:space="preserve">Who are the top customers?                                                        </t>
  </si>
  <si>
    <t xml:space="preserve">How does each region compare in quantity sold?               </t>
  </si>
  <si>
    <t>Order ID</t>
  </si>
  <si>
    <t>Order Date</t>
  </si>
  <si>
    <t>Product ID</t>
  </si>
  <si>
    <t>Product Name</t>
  </si>
  <si>
    <t>Category</t>
  </si>
  <si>
    <t>Region</t>
  </si>
  <si>
    <t>Customer Name</t>
  </si>
  <si>
    <t>Quantity Sold</t>
  </si>
  <si>
    <t>Unit Price</t>
  </si>
  <si>
    <t>Total Sales</t>
  </si>
  <si>
    <t>Cost per Unit</t>
  </si>
  <si>
    <t>Total Cost</t>
  </si>
  <si>
    <t>Profit</t>
  </si>
  <si>
    <t>Inventory Remaining</t>
  </si>
  <si>
    <t>Reorder Level</t>
  </si>
  <si>
    <t>O1000</t>
  </si>
  <si>
    <t>P004</t>
  </si>
  <si>
    <t>Notebook</t>
  </si>
  <si>
    <t>Stationery</t>
  </si>
  <si>
    <t>North West</t>
  </si>
  <si>
    <t>John Doe</t>
  </si>
  <si>
    <t>O1001</t>
  </si>
  <si>
    <t>P001</t>
  </si>
  <si>
    <t>Wireless Mouse</t>
  </si>
  <si>
    <t>Electronics</t>
  </si>
  <si>
    <t>Kelechi Okoro</t>
  </si>
  <si>
    <t>O1002</t>
  </si>
  <si>
    <t>P005</t>
  </si>
  <si>
    <t>Water Bottle</t>
  </si>
  <si>
    <t>Accessories</t>
  </si>
  <si>
    <t>SOUTH EAST</t>
  </si>
  <si>
    <t>Mary Anne</t>
  </si>
  <si>
    <t>O1003</t>
  </si>
  <si>
    <t>South South</t>
  </si>
  <si>
    <t>O1004</t>
  </si>
  <si>
    <t>P008</t>
  </si>
  <si>
    <t>Backpack</t>
  </si>
  <si>
    <t>O1005</t>
  </si>
  <si>
    <t>O1006</t>
  </si>
  <si>
    <t>South East</t>
  </si>
  <si>
    <t>O1007</t>
  </si>
  <si>
    <t>P006</t>
  </si>
  <si>
    <t>Desk Lamp</t>
  </si>
  <si>
    <t>Home Office</t>
  </si>
  <si>
    <t>O1008</t>
  </si>
  <si>
    <t>Daniel Ali</t>
  </si>
  <si>
    <t>O1009</t>
  </si>
  <si>
    <t>P002</t>
  </si>
  <si>
    <t>Laptop Sleeve</t>
  </si>
  <si>
    <t>Chioma Yemi</t>
  </si>
  <si>
    <t>O1010</t>
  </si>
  <si>
    <t>O1011</t>
  </si>
  <si>
    <t>O1012</t>
  </si>
  <si>
    <t>P007</t>
  </si>
  <si>
    <t>Keyboard</t>
  </si>
  <si>
    <t>O1013</t>
  </si>
  <si>
    <t>Anita Paul</t>
  </si>
  <si>
    <t>O1014</t>
  </si>
  <si>
    <t>O1015</t>
  </si>
  <si>
    <t>O1016</t>
  </si>
  <si>
    <t>North Central</t>
  </si>
  <si>
    <t>O1017</t>
  </si>
  <si>
    <t>O1018</t>
  </si>
  <si>
    <t>North East</t>
  </si>
  <si>
    <t>O1019</t>
  </si>
  <si>
    <t>O1020</t>
  </si>
  <si>
    <t>O1021</t>
  </si>
  <si>
    <t>O1022</t>
  </si>
  <si>
    <t>P003</t>
  </si>
  <si>
    <t>Bluetooth Speaker</t>
  </si>
  <si>
    <t>O1023</t>
  </si>
  <si>
    <t>O1024</t>
  </si>
  <si>
    <t>O1025</t>
  </si>
  <si>
    <t>O1026</t>
  </si>
  <si>
    <t>O1027</t>
  </si>
  <si>
    <t>O1028</t>
  </si>
  <si>
    <t>South West</t>
  </si>
  <si>
    <t>O1029</t>
  </si>
  <si>
    <t>O1030</t>
  </si>
  <si>
    <t>O1031</t>
  </si>
  <si>
    <t>O1032</t>
  </si>
  <si>
    <t>O1033</t>
  </si>
  <si>
    <t>O1034</t>
  </si>
  <si>
    <t>O1035</t>
  </si>
  <si>
    <t>O1036</t>
  </si>
  <si>
    <t>north west</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</si>
  <si>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</si>
  <si>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</si>
  <si>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</si>
  <si>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</si>
  <si>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</si>
  <si>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</si>
  <si>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</si>
  <si>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</si>
  <si>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</si>
  <si>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</si>
  <si>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</si>
  <si>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</si>
  <si>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</si>
  <si>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</si>
  <si>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</si>
  <si>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</si>
  <si>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</si>
  <si>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</si>
  <si>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</si>
  <si>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</si>
  <si>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</si>
  <si>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</si>
  <si>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</si>
  <si>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</si>
  <si>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</si>
  <si>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</si>
  <si>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</si>
  <si>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</si>
  <si>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</si>
  <si>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</si>
  <si>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</si>
  <si>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</si>
  <si>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</si>
  <si>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</si>
  <si>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</si>
  <si>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</si>
  <si>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</si>
  <si>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</si>
  <si>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</si>
  <si>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</si>
  <si>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</si>
  <si>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</si>
  <si>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</si>
  <si>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</si>
  <si>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</si>
  <si>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</si>
  <si>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</si>
  <si>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</si>
  <si>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</si>
  <si>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</si>
  <si>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</si>
  <si>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</si>
  <si>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</si>
  <si>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</si>
  <si>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</si>
  <si>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</si>
  <si>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</si>
  <si>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</si>
  <si>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</si>
  <si>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</si>
  <si>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</si>
  <si>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</si>
  <si>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</si>
  <si>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</si>
  <si>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</si>
  <si>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</si>
  <si>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</si>
  <si>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</si>
  <si>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</si>
  <si>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</si>
  <si>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</si>
  <si>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</si>
  <si>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</si>
  <si>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</si>
  <si>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</si>
  <si>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</si>
  <si>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</si>
  <si>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</si>
  <si>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</si>
  <si>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</si>
  <si>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</si>
  <si>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</si>
  <si>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</si>
  <si>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</si>
  <si>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</si>
  <si>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</si>
  <si>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</si>
  <si>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</si>
  <si>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</si>
  <si>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</si>
  <si>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</si>
  <si>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</si>
  <si>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</si>
  <si>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</si>
  <si>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</si>
  <si>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</si>
  <si>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</si>
  <si>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</si>
  <si>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</si>
  <si>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</si>
  <si>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</si>
  <si>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</si>
  <si>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</si>
  <si>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</si>
  <si>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</si>
  <si>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</si>
  <si>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</si>
  <si>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</si>
  <si>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</si>
  <si>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</si>
  <si>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</si>
  <si>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</si>
  <si>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</si>
  <si>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</si>
  <si>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</si>
  <si>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</si>
  <si>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</si>
  <si>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</si>
  <si>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</si>
  <si>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</si>
  <si>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</si>
  <si>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</si>
  <si>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</si>
  <si>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</si>
  <si>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</si>
  <si>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</si>
  <si>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</si>
  <si>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</si>
  <si>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</si>
  <si>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</si>
  <si>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</si>
  <si>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</si>
  <si>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</si>
  <si>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</si>
  <si>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</si>
  <si>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</si>
  <si>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</si>
  <si>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</si>
  <si>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</si>
  <si>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</si>
  <si>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</si>
  <si>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</si>
  <si>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</si>
  <si>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</si>
  <si>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</si>
  <si>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</si>
  <si>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</si>
  <si>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</si>
  <si>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</si>
  <si>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</si>
  <si>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</si>
  <si>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</si>
  <si>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</si>
  <si>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</si>
  <si>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</si>
  <si>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</si>
  <si>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</si>
  <si>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</si>
  <si>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</si>
  <si>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</si>
  <si>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</si>
  <si>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</si>
  <si>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</si>
  <si>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</si>
  <si>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</si>
  <si>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</si>
  <si>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</si>
  <si>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</si>
  <si>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</si>
  <si>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</si>
  <si>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</si>
  <si>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</si>
  <si>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</si>
  <si>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</si>
  <si>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</si>
  <si>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</si>
  <si>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</si>
  <si>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</si>
  <si>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</si>
  <si>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</si>
  <si>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</si>
  <si>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</si>
  <si>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</si>
  <si>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</si>
  <si>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</si>
  <si>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</si>
  <si>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</si>
  <si>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</si>
  <si>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</si>
  <si>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</si>
  <si>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</si>
  <si>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</si>
  <si>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</si>
  <si>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</si>
  <si>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</si>
  <si>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</si>
  <si>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</si>
  <si>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</si>
  <si>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</si>
  <si>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</si>
  <si>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</si>
  <si>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</si>
  <si>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</si>
  <si>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</si>
  <si>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</si>
  <si>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</si>
  <si>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</si>
  <si>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</si>
  <si>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</si>
  <si>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</si>
  <si>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</si>
  <si>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</si>
  <si>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</si>
  <si>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Year</t>
  </si>
  <si>
    <t>Month Name</t>
  </si>
  <si>
    <t>Quarter</t>
  </si>
  <si>
    <t>October</t>
  </si>
  <si>
    <t>August</t>
  </si>
  <si>
    <t>September</t>
  </si>
  <si>
    <t>February</t>
  </si>
  <si>
    <t>June</t>
  </si>
  <si>
    <t>July</t>
  </si>
  <si>
    <t>March</t>
  </si>
  <si>
    <t>January</t>
  </si>
  <si>
    <t>April</t>
  </si>
  <si>
    <t>May</t>
  </si>
  <si>
    <t>November</t>
  </si>
  <si>
    <t>Sales &amp; Inventory Analysis</t>
  </si>
  <si>
    <t>Row Labels</t>
  </si>
  <si>
    <t>Sum of Total Sales</t>
  </si>
  <si>
    <t>Sum of Quantity Sold</t>
  </si>
  <si>
    <t>Distinct Count of Order ID</t>
  </si>
  <si>
    <t>Month Number</t>
  </si>
  <si>
    <t>Jan</t>
  </si>
  <si>
    <t>Feb</t>
  </si>
  <si>
    <t>Mar</t>
  </si>
  <si>
    <t>Apr</t>
  </si>
  <si>
    <t>Jun</t>
  </si>
  <si>
    <t>Jul</t>
  </si>
  <si>
    <t>Aug</t>
  </si>
  <si>
    <t>Sep</t>
  </si>
  <si>
    <t>Oct</t>
  </si>
  <si>
    <t>Nov</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</si>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</sst>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6A]#,##0.00"/>
    <numFmt numFmtId="165" formatCode="_-[$₦-46A]* #,##0.00_-;\-[$₦-46A]* #,##0.00_-;_-[$₦-46A]* &quot;-&quot;??_-;_-@_-"/>
    <numFmt numFmtId="166" formatCode="yyyy\-mm\-dd\ hh:mm:ss"/>
    <numFmt numFmtId="167" formatCode="[$₦-46A]#,##0"/>
    <numFmt numFmtId="171" formatCode="#,##0;[Red]#,##0"/>
  </numFmts>
  <fonts count="10">
    <font>
      <sz val="11"/>
      <color theme="1"/>
      <name val="Calibri"/>
      <charset val="134"/>
      <scheme val="minor"/>
    </font>
    <font>
      <b/>
      <sz val="11"/>
      <color theme="1"/>
      <name val="Calibri"/>
      <family val="2"/>
      <scheme val="minor"/>
    </font>
    <font>
      <sz val="20"/>
      <color theme="1"/>
      <name val="Calibri"/>
      <family val="2"/>
      <scheme val="minor"/>
    </font>
    <font>
      <sz val="12"/>
      <color theme="1"/>
      <name val="Calibri"/>
      <family val="2"/>
      <scheme val="minor"/>
    </font>
    <font>
      <sz val="11"/>
      <color theme="1"/>
      <name val="Calibri"/>
      <family val="2"/>
      <scheme val="minor"/>
    </font>
    <font>
      <sz val="18"/>
      <color theme="1"/>
      <name val="Calibri"/>
      <family val="2"/>
      <scheme val="minor"/>
    </font>
    <font>
      <sz val="26"/>
      <color theme="1"/>
      <name val="Times New Roman"/>
      <family val="1"/>
    </font>
    <font>
      <sz val="11"/>
      <color theme="1"/>
      <name val="Calibri"/>
      <family val="2"/>
      <charset val="134"/>
      <scheme val="minor"/>
    </font>
    <font>
      <b/>
      <sz val="26"/>
      <name val="Times New Roman"/>
      <family val="1"/>
    </font>
    <font>
      <b/>
      <sz val="32"/>
      <name val="Times New Roman"/>
      <family val="1"/>
    </font>
  </fonts>
  <fills count="5">
    <fill>
      <patternFill patternType="none"/>
    </fill>
    <fill>
      <patternFill patternType="gray125"/>
    </fill>
    <fill>
      <patternFill patternType="solid">
        <fgColor theme="3" tint="0.59999389629810485"/>
        <bgColor indexed="64"/>
      </patternFill>
    </fill>
    <fill>
      <patternFill patternType="solid">
        <fgColor theme="0" tint="-0.249977111117893"/>
        <bgColor indexed="64"/>
      </patternFill>
    </fill>
    <fill>
      <patternFill patternType="solid">
        <fgColor theme="0" tint="-0.34998626667073579"/>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0" fillId="0" borderId="0" xfId="0" applyAlignment="1">
      <alignment horizontal="center"/>
    </xf>
    <xf numFmtId="0" fontId="0" fillId="2" borderId="0" xfId="0" applyFill="1"/>
    <xf numFmtId="0" fontId="0" fillId="0" borderId="0" xfId="0" applyAlignment="1"/>
    <xf numFmtId="49" fontId="0" fillId="0" borderId="0" xfId="0" applyNumberFormat="1"/>
    <xf numFmtId="14" fontId="0" fillId="0" borderId="0" xfId="0" applyNumberFormat="1"/>
    <xf numFmtId="1" fontId="0" fillId="0" borderId="0" xfId="0" applyNumberFormat="1"/>
    <xf numFmtId="164" fontId="0" fillId="0" borderId="0" xfId="0" applyNumberFormat="1"/>
    <xf numFmtId="165" fontId="0" fillId="0" borderId="0" xfId="0" applyNumberFormat="1"/>
    <xf numFmtId="49" fontId="1" fillId="2" borderId="1" xfId="0" applyNumberFormat="1" applyFont="1" applyFill="1" applyBorder="1" applyAlignment="1">
      <alignment horizontal="center" vertical="top"/>
    </xf>
    <xf numFmtId="14"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vertical="top"/>
    </xf>
    <xf numFmtId="164" fontId="1" fillId="2" borderId="1" xfId="0" applyNumberFormat="1" applyFont="1" applyFill="1" applyBorder="1" applyAlignment="1">
      <alignment horizontal="center" vertical="top"/>
    </xf>
    <xf numFmtId="0" fontId="1" fillId="0" borderId="2" xfId="0" applyFont="1" applyBorder="1" applyAlignment="1">
      <alignment horizontal="center" vertical="top"/>
    </xf>
    <xf numFmtId="166" fontId="0" fillId="0" borderId="0" xfId="0" applyNumberFormat="1"/>
    <xf numFmtId="0" fontId="4" fillId="0" borderId="0" xfId="0" applyFont="1" applyAlignment="1">
      <alignment horizontal="center"/>
    </xf>
    <xf numFmtId="0" fontId="0" fillId="0" borderId="0" xfId="0" pivotButton="1"/>
    <xf numFmtId="0" fontId="0" fillId="0" borderId="0" xfId="0" applyAlignment="1">
      <alignment horizontal="left"/>
    </xf>
    <xf numFmtId="167" fontId="0" fillId="0" borderId="0" xfId="0" applyNumberFormat="1"/>
    <xf numFmtId="1" fontId="0" fillId="0" borderId="0" xfId="0" pivotButton="1" applyNumberFormat="1"/>
    <xf numFmtId="1" fontId="0" fillId="0" borderId="0" xfId="0" applyNumberFormat="1" applyAlignment="1">
      <alignment horizontal="left"/>
    </xf>
    <xf numFmtId="49" fontId="7" fillId="0" borderId="0" xfId="0" applyNumberFormat="1" applyFont="1"/>
    <xf numFmtId="0" fontId="7" fillId="0" borderId="0" xfId="0" applyFont="1"/>
    <xf numFmtId="0" fontId="4" fillId="0" borderId="0" xfId="0" applyFont="1" applyAlignment="1">
      <alignment horizontal="center"/>
    </xf>
    <xf numFmtId="0" fontId="0" fillId="0" borderId="0" xfId="0"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5" fillId="4" borderId="0" xfId="0" applyFont="1" applyFill="1" applyAlignment="1">
      <alignment horizontal="center"/>
    </xf>
    <xf numFmtId="0" fontId="3" fillId="0" borderId="0" xfId="0" applyFont="1" applyAlignment="1">
      <alignment horizontal="center"/>
    </xf>
    <xf numFmtId="167" fontId="6" fillId="0" borderId="0" xfId="0" applyNumberFormat="1" applyFont="1" applyAlignment="1">
      <alignment horizontal="center"/>
    </xf>
    <xf numFmtId="1" fontId="6" fillId="0" borderId="0" xfId="0" applyNumberFormat="1" applyFont="1" applyAlignment="1">
      <alignment horizontal="center"/>
    </xf>
    <xf numFmtId="0" fontId="8" fillId="2" borderId="0" xfId="0" applyFont="1" applyFill="1" applyAlignment="1">
      <alignment horizontal="center"/>
    </xf>
    <xf numFmtId="0" fontId="0" fillId="2" borderId="0" xfId="0" applyFill="1" applyAlignment="1">
      <alignment horizontal="center"/>
    </xf>
    <xf numFmtId="171" fontId="6" fillId="0" borderId="0" xfId="0" applyNumberFormat="1" applyFont="1" applyAlignment="1">
      <alignment horizontal="center"/>
    </xf>
    <xf numFmtId="0" fontId="8" fillId="2" borderId="0" xfId="0" applyFont="1" applyFill="1" applyAlignment="1"/>
    <xf numFmtId="0" fontId="0" fillId="2" borderId="0" xfId="0" applyFill="1" applyAlignment="1"/>
    <xf numFmtId="0" fontId="9" fillId="2" borderId="0" xfId="0" applyFont="1" applyFill="1" applyAlignment="1">
      <alignment horizontal="center"/>
    </xf>
  </cellXfs>
  <cellStyles count="1">
    <cellStyle name="Normal" xfId="0" builtinId="0"/>
  </cellStyles>
  <dxfs count="164">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6A]#,##0"/>
    </dxf>
    <dxf>
      <numFmt numFmtId="167" formatCode="[$₦-46A]#,##0"/>
    </dxf>
    <dxf>
      <numFmt numFmtId="167" formatCode="[$₦-46A]#,##0"/>
    </dxf>
    <dxf>
      <numFmt numFmtId="1" formatCode="0"/>
    </dxf>
    <dxf>
      <numFmt numFmtId="1" formatCode="0"/>
    </dxf>
    <dxf>
      <numFmt numFmtId="1" formatCode="0"/>
    </dxf>
    <dxf>
      <numFmt numFmtId="167" formatCode="[$₦-46A]#,##0"/>
    </dxf>
    <dxf>
      <numFmt numFmtId="167" formatCode="[$₦-46A]#,##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1" formatCode="0"/>
    </dxf>
    <dxf>
      <numFmt numFmtId="1" formatCode="0"/>
    </dxf>
    <dxf>
      <numFmt numFmtId="1" formatCode="0"/>
    </dxf>
    <dxf>
      <numFmt numFmtId="164" formatCode="[$₦-46A]#,##0.00"/>
    </dxf>
    <dxf>
      <numFmt numFmtId="165" formatCode="_-[$₦-46A]* #,##0.00_-;\-[$₦-46A]* #,##0.00_-;_-[$₦-46A]* &quot;-&quot;??_-;_-@_-"/>
    </dxf>
    <dxf>
      <numFmt numFmtId="164" formatCode="[$₦-46A]#,##0.00"/>
    </dxf>
    <dxf>
      <numFmt numFmtId="164" formatCode="[$₦-46A]#,##0.00"/>
    </dxf>
    <dxf>
      <numFmt numFmtId="164" formatCode="[$₦-46A]#,##0.00"/>
    </dxf>
    <dxf>
      <numFmt numFmtId="1" formatCode="0"/>
    </dxf>
    <dxf>
      <numFmt numFmtId="30" formatCode="@"/>
    </dxf>
    <dxf>
      <numFmt numFmtId="30" formatCode="@"/>
    </dxf>
    <dxf>
      <numFmt numFmtId="30" formatCode="@"/>
    </dxf>
    <dxf>
      <numFmt numFmtId="30" formatCode="@"/>
    </dxf>
    <dxf>
      <numFmt numFmtId="30" formatCode="@"/>
    </dxf>
    <dxf>
      <numFmt numFmtId="19" formatCode="m/d/yyyy"/>
    </dxf>
    <dxf>
      <numFmt numFmtId="30" formatCode="@"/>
    </dxf>
    <dxf>
      <numFmt numFmtId="1" formatCode="0"/>
    </dxf>
    <dxf>
      <numFmt numFmtId="1" formatCode="0"/>
    </dxf>
    <dxf>
      <numFmt numFmtId="164" formatCode="[$₦-46A]#,##0.00"/>
    </dxf>
    <dxf>
      <numFmt numFmtId="164" formatCode="[$₦-46A]#,##0.00"/>
    </dxf>
    <dxf>
      <numFmt numFmtId="164" formatCode="[$₦-46A]#,##0.00"/>
    </dxf>
    <dxf>
      <numFmt numFmtId="164" formatCode="[$₦-46A]#,##0.00"/>
    </dxf>
    <dxf>
      <numFmt numFmtId="164" formatCode="[$₦-46A]#,##0.00"/>
    </dxf>
    <dxf>
      <numFmt numFmtId="1" formatCode="0"/>
    </dxf>
    <dxf>
      <numFmt numFmtId="30" formatCode="@"/>
    </dxf>
    <dxf>
      <numFmt numFmtId="30" formatCode="@"/>
    </dxf>
    <dxf>
      <numFmt numFmtId="30" formatCode="@"/>
    </dxf>
    <dxf>
      <numFmt numFmtId="30" formatCode="@"/>
    </dxf>
    <dxf>
      <numFmt numFmtId="30" formatCode="@"/>
    </dxf>
    <dxf>
      <numFmt numFmtId="19" formatCode="m/d/yyyy"/>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9.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[Raw_Sales_Inventory_Nigeria_Regions.xlsx]Pivot Table Analysis!PivotTable1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a:t>
            </a:r>
            <a:r>
              <a:rPr lang="en-US" b="1" baseline="0">
                <a:latin typeface="Times New Roman" panose="02020603050405020304" pitchFamily="18" charset="0"/>
                <a:cs typeface="Times New Roman" panose="02020603050405020304" pitchFamily="18" charset="0"/>
              </a:rPr>
              <a:t>  5 Products by Sales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46A]#,##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2428254666874"/>
          <c:y val="0.18770813438474201"/>
          <c:w val="0.84346361417799742"/>
          <c:h val="0.69733189167152254"/>
        </c:manualLayout>
      </c:layout>
      <c:barChart>
        <c:barDir val="col"/>
        <c:grouping val="clustered"/>
        <c:varyColors val="0"/>
        <c:ser>
          <c:idx val="0"/>
          <c:order val="0"/>
          <c:tx>
            <c:strRef>
              <c:f>'Pivot Table Analysis'!$B$1</c:f>
              <c:strCache>
                <c:ptCount val="1"/>
                <c:pt idx="0">
                  <c:v>Total</c:v>
                </c:pt>
              </c:strCache>
            </c:strRef>
          </c:tx>
          <c:spPr>
            <a:solidFill>
              <a:schemeClr val="accent1"/>
            </a:solidFill>
            <a:ln>
              <a:noFill/>
            </a:ln>
            <a:effectLst/>
          </c:spPr>
          <c:invertIfNegative val="0"/>
          <c:dLbls>
            <c:numFmt formatCode="[$₦-46A]#,##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Analysis'!$A$2:$A$6</c:f>
              <c:strCache>
                <c:ptCount val="5"/>
                <c:pt idx="0">
                  <c:v>Laptop Sleeve</c:v>
                </c:pt>
                <c:pt idx="1">
                  <c:v>Backpack</c:v>
                </c:pt>
                <c:pt idx="2">
                  <c:v>Notebook</c:v>
                </c:pt>
                <c:pt idx="3">
                  <c:v>Water Bottle</c:v>
                </c:pt>
                <c:pt idx="4">
                  <c:v>Wireless Mouse</c:v>
                </c:pt>
              </c:strCache>
            </c:strRef>
          </c:cat>
          <c:val>
            <c:numRef>
              <c:f>'Pivot Table Analysis'!$B$2:$B$6</c:f>
              <c:numCache>
                <c:formatCode>[$₦-46A]#,##0</c:formatCode>
                <c:ptCount val="5"/>
                <c:pt idx="0">
                  <c:v>51107.03</c:v>
                </c:pt>
                <c:pt idx="1">
                  <c:v>45803.08</c:v>
                </c:pt>
                <c:pt idx="2">
                  <c:v>41748.46</c:v>
                </c:pt>
                <c:pt idx="3">
                  <c:v>40124.269999999997</c:v>
                </c:pt>
                <c:pt idx="4">
                  <c:v>33370.879999999997</c:v>
                </c:pt>
              </c:numCache>
            </c:numRef>
          </c:val>
          <c:extLst>
            <c:ext xmlns:c16="http://schemas.microsoft.com/office/drawing/2014/chart" uri="{C3380CC4-5D6E-409C-BE32-E72D297353CC}">
              <c16:uniqueId val="{00000000-0DD0-4107-8E66-40AA09FC43A0}"/>
            </c:ext>
          </c:extLst>
        </c:ser>
        <c:dLbls>
          <c:showLegendKey val="0"/>
          <c:showVal val="0"/>
          <c:showCatName val="0"/>
          <c:showSerName val="0"/>
          <c:showPercent val="0"/>
          <c:showBubbleSize val="0"/>
        </c:dLbls>
        <c:gapWidth val="98"/>
        <c:overlap val="11"/>
        <c:axId val="1954267952"/>
        <c:axId val="1954268912"/>
      </c:barChart>
      <c:catAx>
        <c:axId val="1954267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4268912"/>
        <c:crosses val="autoZero"/>
        <c:auto val="1"/>
        <c:lblAlgn val="ctr"/>
        <c:lblOffset val="100"/>
        <c:noMultiLvlLbl val="0"/>
      </c:catAx>
      <c:valAx>
        <c:axId val="1954268912"/>
        <c:scaling>
          <c:orientation val="minMax"/>
        </c:scaling>
        <c:delete val="0"/>
        <c:axPos val="l"/>
        <c:numFmt formatCode="[$₦-46A]#,##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426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[Raw_Sales_Inventory_Nigeria_Regions.xlsx]Pivot Table 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 Sales</a:t>
            </a:r>
            <a:r>
              <a:rPr lang="en-US" b="1" baseline="0">
                <a:latin typeface="Times New Roman" panose="02020603050405020304" pitchFamily="18" charset="0"/>
                <a:cs typeface="Times New Roman" panose="02020603050405020304" pitchFamily="18" charset="0"/>
              </a:rPr>
              <a:t> by Category</a:t>
            </a:r>
            <a:endParaRPr lang="en-US" b="1">
              <a:latin typeface="Times New Roman" panose="02020603050405020304" pitchFamily="18" charset="0"/>
              <a:cs typeface="Times New Roman" panose="02020603050405020304" pitchFamily="18" charset="0"/>
            </a:endParaRPr>
          </a:p>
        </c:rich>
      </c:tx>
      <c:layout>
        <c:manualLayout>
          <c:xMode val="edge"/>
          <c:yMode val="edge"/>
          <c:x val="0.28546453139604544"/>
          <c:y val="1.78613382449353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6A]#,##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lumMod val="40000"/>
              <a:lumOff val="60000"/>
            </a:schemeClr>
          </a:solidFill>
          <a:ln w="3175">
            <a:solidFill>
              <a:schemeClr val="lt1"/>
            </a:solidFill>
          </a:ln>
          <a:effectLst/>
        </c:spPr>
      </c:pivotFmt>
      <c:pivotFmt>
        <c:idx val="4"/>
        <c:spPr>
          <a:solidFill>
            <a:schemeClr val="accent1">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46A]#,##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
        <c:idx val="9"/>
        <c:spPr>
          <a:solidFill>
            <a:schemeClr val="accent1">
              <a:lumMod val="40000"/>
              <a:lumOff val="60000"/>
            </a:schemeClr>
          </a:solidFill>
          <a:ln w="3175">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46A]#,##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lumMod val="60000"/>
              <a:lumOff val="40000"/>
            </a:schemeClr>
          </a:solidFill>
          <a:ln w="19050">
            <a:solidFill>
              <a:schemeClr val="lt1"/>
            </a:solidFill>
          </a:ln>
          <a:effectLst/>
        </c:spPr>
      </c:pivotFmt>
      <c:pivotFmt>
        <c:idx val="14"/>
        <c:spPr>
          <a:solidFill>
            <a:schemeClr val="accent1">
              <a:lumMod val="40000"/>
              <a:lumOff val="60000"/>
            </a:schemeClr>
          </a:solidFill>
          <a:ln w="3175">
            <a:solidFill>
              <a:schemeClr val="lt1"/>
            </a:solidFill>
          </a:ln>
          <a:effectLst/>
        </c:spPr>
      </c:pivotFmt>
    </c:pivotFmts>
    <c:plotArea>
      <c:layout>
        <c:manualLayout>
          <c:layoutTarget val="inner"/>
          <c:xMode val="edge"/>
          <c:yMode val="edge"/>
          <c:x val="0.30172149822340644"/>
          <c:y val="0.18861410945175547"/>
          <c:w val="0.43109384101540765"/>
          <c:h val="0.65111020750160187"/>
        </c:manualLayout>
      </c:layout>
      <c:pieChart>
        <c:varyColors val="1"/>
        <c:ser>
          <c:idx val="0"/>
          <c:order val="0"/>
          <c:tx>
            <c:strRef>
              <c:f>'Pivot Table Analysis'!$B$18</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38BE-4AAD-9A02-712C4E8055C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8BE-4AAD-9A02-712C4E8055C0}"/>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38BE-4AAD-9A02-712C4E8055C0}"/>
              </c:ext>
            </c:extLst>
          </c:dPt>
          <c:dPt>
            <c:idx val="3"/>
            <c:bubble3D val="0"/>
            <c:spPr>
              <a:solidFill>
                <a:schemeClr val="accent1">
                  <a:lumMod val="40000"/>
                  <a:lumOff val="60000"/>
                </a:schemeClr>
              </a:solidFill>
              <a:ln w="3175">
                <a:solidFill>
                  <a:schemeClr val="lt1"/>
                </a:solidFill>
              </a:ln>
              <a:effectLst/>
            </c:spPr>
            <c:extLst>
              <c:ext xmlns:c16="http://schemas.microsoft.com/office/drawing/2014/chart" uri="{C3380CC4-5D6E-409C-BE32-E72D297353CC}">
                <c16:uniqueId val="{00000007-38BE-4AAD-9A02-712C4E8055C0}"/>
              </c:ext>
            </c:extLst>
          </c:dPt>
          <c:dLbls>
            <c:numFmt formatCode="[$₦-46A]#,##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Analysis'!$A$19:$A$22</c:f>
              <c:strCache>
                <c:ptCount val="4"/>
                <c:pt idx="0">
                  <c:v>Accessories</c:v>
                </c:pt>
                <c:pt idx="1">
                  <c:v>Electronics</c:v>
                </c:pt>
                <c:pt idx="2">
                  <c:v>Home Office</c:v>
                </c:pt>
                <c:pt idx="3">
                  <c:v>Stationery</c:v>
                </c:pt>
              </c:strCache>
            </c:strRef>
          </c:cat>
          <c:val>
            <c:numRef>
              <c:f>'Pivot Table Analysis'!$B$19:$B$22</c:f>
              <c:numCache>
                <c:formatCode>0</c:formatCode>
                <c:ptCount val="4"/>
                <c:pt idx="0">
                  <c:v>137034.38</c:v>
                </c:pt>
                <c:pt idx="1">
                  <c:v>83712.399999999994</c:v>
                </c:pt>
                <c:pt idx="2">
                  <c:v>33005.24</c:v>
                </c:pt>
                <c:pt idx="3">
                  <c:v>41748.46</c:v>
                </c:pt>
              </c:numCache>
            </c:numRef>
          </c:val>
          <c:extLst>
            <c:ext xmlns:c16="http://schemas.microsoft.com/office/drawing/2014/chart" uri="{C3380CC4-5D6E-409C-BE32-E72D297353CC}">
              <c16:uniqueId val="{00000008-38BE-4AAD-9A02-712C4E8055C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[Raw_Sales_Inventory_Nigeria_Regions.xlsx]Pivot Table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Monthly</a:t>
            </a:r>
            <a:r>
              <a:rPr lang="en-US" b="1" baseline="0">
                <a:latin typeface="Times New Roman" panose="02020603050405020304" pitchFamily="18" charset="0"/>
                <a:cs typeface="Times New Roman" panose="02020603050405020304" pitchFamily="18" charset="0"/>
              </a:rPr>
              <a:t> Sales Trend</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9019375514407"/>
          <c:y val="0.2418323571933168"/>
          <c:w val="0.81891667296215154"/>
          <c:h val="0.60691146149928532"/>
        </c:manualLayout>
      </c:layout>
      <c:lineChart>
        <c:grouping val="standard"/>
        <c:varyColors val="0"/>
        <c:ser>
          <c:idx val="0"/>
          <c:order val="0"/>
          <c:tx>
            <c:strRef>
              <c:f>'Pivot Table Analysis'!$E$1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Analysis'!$D$2:$D$12</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 Analysis'!$E$2:$E$12</c:f>
              <c:numCache>
                <c:formatCode>[$₦-46A]#,##0</c:formatCode>
                <c:ptCount val="11"/>
                <c:pt idx="0">
                  <c:v>35350.839999999997</c:v>
                </c:pt>
                <c:pt idx="1">
                  <c:v>42895.64</c:v>
                </c:pt>
                <c:pt idx="2">
                  <c:v>28986.07</c:v>
                </c:pt>
                <c:pt idx="3">
                  <c:v>21706.22</c:v>
                </c:pt>
                <c:pt idx="4">
                  <c:v>29621.38</c:v>
                </c:pt>
                <c:pt idx="5">
                  <c:v>21473.75</c:v>
                </c:pt>
                <c:pt idx="6">
                  <c:v>28490.09</c:v>
                </c:pt>
                <c:pt idx="7">
                  <c:v>27137.31</c:v>
                </c:pt>
                <c:pt idx="8">
                  <c:v>17205.73</c:v>
                </c:pt>
                <c:pt idx="9">
                  <c:v>27612.880000000001</c:v>
                </c:pt>
                <c:pt idx="10">
                  <c:v>15020.57</c:v>
                </c:pt>
              </c:numCache>
            </c:numRef>
          </c:val>
          <c:smooth val="0"/>
          <c:extLst>
            <c:ext xmlns:c16="http://schemas.microsoft.com/office/drawing/2014/chart" uri="{C3380CC4-5D6E-409C-BE32-E72D297353CC}">
              <c16:uniqueId val="{00000005-F46B-4FFF-B444-7ADD60D3ECA1}"/>
            </c:ext>
          </c:extLst>
        </c:ser>
        <c:dLbls>
          <c:showLegendKey val="0"/>
          <c:showVal val="0"/>
          <c:showCatName val="0"/>
          <c:showSerName val="0"/>
          <c:showPercent val="0"/>
          <c:showBubbleSize val="0"/>
        </c:dLbls>
        <c:marker val="1"/>
        <c:smooth val="0"/>
        <c:axId val="2072580480"/>
        <c:axId val="2080576112"/>
      </c:lineChart>
      <c:catAx>
        <c:axId val="20725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0576112"/>
        <c:crosses val="autoZero"/>
        <c:auto val="1"/>
        <c:lblAlgn val="ctr"/>
        <c:lblOffset val="100"/>
        <c:noMultiLvlLbl val="0"/>
      </c:catAx>
      <c:valAx>
        <c:axId val="2080576112"/>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7258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[Raw_Sales_Inventory_Nigeria_Regions.xlsx]Pivot Table 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Regional</a:t>
            </a:r>
            <a:r>
              <a:rPr lang="en-US" b="1" baseline="0">
                <a:latin typeface="Times New Roman" panose="02020603050405020304" pitchFamily="18" charset="0"/>
                <a:cs typeface="Times New Roman" panose="02020603050405020304" pitchFamily="18" charset="0"/>
              </a:rPr>
              <a:t> Sales Analysis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946252282532"/>
          <c:y val="0.12368127420119392"/>
          <c:w val="0.83049744647417001"/>
          <c:h val="0.78704583913674486"/>
        </c:manualLayout>
      </c:layout>
      <c:barChart>
        <c:barDir val="col"/>
        <c:grouping val="clustered"/>
        <c:varyColors val="0"/>
        <c:ser>
          <c:idx val="0"/>
          <c:order val="0"/>
          <c:tx>
            <c:strRef>
              <c:f>'Pivot Table Analysis'!$E$15:$E$16</c:f>
              <c:strCache>
                <c:ptCount val="1"/>
                <c:pt idx="0">
                  <c:v>20</c:v>
                </c:pt>
              </c:strCache>
            </c:strRef>
          </c:tx>
          <c:spPr>
            <a:solidFill>
              <a:schemeClr val="accent1">
                <a:lumMod val="75000"/>
              </a:schemeClr>
            </a:solidFill>
            <a:ln>
              <a:noFill/>
            </a:ln>
            <a:effectLst/>
          </c:spPr>
          <c:invertIfNegative val="0"/>
          <c:cat>
            <c:strRef>
              <c:f>'Pivot Table Analysis'!$D$17:$D$22</c:f>
              <c:strCache>
                <c:ptCount val="6"/>
                <c:pt idx="0">
                  <c:v>North Central</c:v>
                </c:pt>
                <c:pt idx="1">
                  <c:v>North East</c:v>
                </c:pt>
                <c:pt idx="2">
                  <c:v>North West</c:v>
                </c:pt>
                <c:pt idx="3">
                  <c:v>South East</c:v>
                </c:pt>
                <c:pt idx="4">
                  <c:v>South South</c:v>
                </c:pt>
                <c:pt idx="5">
                  <c:v>South West</c:v>
                </c:pt>
              </c:strCache>
            </c:strRef>
          </c:cat>
          <c:val>
            <c:numRef>
              <c:f>'Pivot Table Analysis'!$E$17:$E$22</c:f>
              <c:numCache>
                <c:formatCode>[$₦-46A]#,##0</c:formatCode>
                <c:ptCount val="6"/>
                <c:pt idx="0">
                  <c:v>13616.42</c:v>
                </c:pt>
                <c:pt idx="1">
                  <c:v>7611.84</c:v>
                </c:pt>
                <c:pt idx="2">
                  <c:v>46694.94</c:v>
                </c:pt>
                <c:pt idx="3">
                  <c:v>25182.639999999999</c:v>
                </c:pt>
                <c:pt idx="4">
                  <c:v>7992.97</c:v>
                </c:pt>
                <c:pt idx="5">
                  <c:v>11430.89</c:v>
                </c:pt>
              </c:numCache>
            </c:numRef>
          </c:val>
          <c:extLst>
            <c:ext xmlns:c16="http://schemas.microsoft.com/office/drawing/2014/chart" uri="{C3380CC4-5D6E-409C-BE32-E72D297353CC}">
              <c16:uniqueId val="{00000000-ABBB-4DE6-BCA7-1470C13AEB71}"/>
            </c:ext>
          </c:extLst>
        </c:ser>
        <c:ser>
          <c:idx val="1"/>
          <c:order val="1"/>
          <c:tx>
            <c:strRef>
              <c:f>'Pivot Table Analysis'!$F$15:$F$16</c:f>
              <c:strCache>
                <c:ptCount val="1"/>
                <c:pt idx="0">
                  <c:v>30</c:v>
                </c:pt>
              </c:strCache>
            </c:strRef>
          </c:tx>
          <c:spPr>
            <a:solidFill>
              <a:schemeClr val="accent1"/>
            </a:solidFill>
            <a:ln>
              <a:noFill/>
            </a:ln>
            <a:effectLst/>
          </c:spPr>
          <c:invertIfNegative val="0"/>
          <c:cat>
            <c:strRef>
              <c:f>'Pivot Table Analysis'!$D$17:$D$22</c:f>
              <c:strCache>
                <c:ptCount val="6"/>
                <c:pt idx="0">
                  <c:v>North Central</c:v>
                </c:pt>
                <c:pt idx="1">
                  <c:v>North East</c:v>
                </c:pt>
                <c:pt idx="2">
                  <c:v>North West</c:v>
                </c:pt>
                <c:pt idx="3">
                  <c:v>South East</c:v>
                </c:pt>
                <c:pt idx="4">
                  <c:v>South South</c:v>
                </c:pt>
                <c:pt idx="5">
                  <c:v>South West</c:v>
                </c:pt>
              </c:strCache>
            </c:strRef>
          </c:cat>
          <c:val>
            <c:numRef>
              <c:f>'Pivot Table Analysis'!$F$17:$F$22</c:f>
              <c:numCache>
                <c:formatCode>[$₦-46A]#,##0</c:formatCode>
                <c:ptCount val="6"/>
                <c:pt idx="0">
                  <c:v>10403.379999999999</c:v>
                </c:pt>
                <c:pt idx="1">
                  <c:v>12213.45</c:v>
                </c:pt>
                <c:pt idx="2">
                  <c:v>36798.720000000001</c:v>
                </c:pt>
                <c:pt idx="3">
                  <c:v>14515.52</c:v>
                </c:pt>
                <c:pt idx="4">
                  <c:v>5254.81</c:v>
                </c:pt>
                <c:pt idx="5">
                  <c:v>3850.32</c:v>
                </c:pt>
              </c:numCache>
            </c:numRef>
          </c:val>
          <c:extLst>
            <c:ext xmlns:c16="http://schemas.microsoft.com/office/drawing/2014/chart" uri="{C3380CC4-5D6E-409C-BE32-E72D297353CC}">
              <c16:uniqueId val="{00000001-ABBB-4DE6-BCA7-1470C13AEB71}"/>
            </c:ext>
          </c:extLst>
        </c:ser>
        <c:ser>
          <c:idx val="2"/>
          <c:order val="2"/>
          <c:tx>
            <c:strRef>
              <c:f>'Pivot Table Analysis'!$G$15:$G$16</c:f>
              <c:strCache>
                <c:ptCount val="1"/>
                <c:pt idx="0">
                  <c:v>50</c:v>
                </c:pt>
              </c:strCache>
            </c:strRef>
          </c:tx>
          <c:spPr>
            <a:solidFill>
              <a:schemeClr val="accent1">
                <a:lumMod val="40000"/>
                <a:lumOff val="60000"/>
              </a:schemeClr>
            </a:solidFill>
            <a:ln>
              <a:noFill/>
            </a:ln>
            <a:effectLst/>
          </c:spPr>
          <c:invertIfNegative val="0"/>
          <c:cat>
            <c:strRef>
              <c:f>'Pivot Table Analysis'!$D$17:$D$22</c:f>
              <c:strCache>
                <c:ptCount val="6"/>
                <c:pt idx="0">
                  <c:v>North Central</c:v>
                </c:pt>
                <c:pt idx="1">
                  <c:v>North East</c:v>
                </c:pt>
                <c:pt idx="2">
                  <c:v>North West</c:v>
                </c:pt>
                <c:pt idx="3">
                  <c:v>South East</c:v>
                </c:pt>
                <c:pt idx="4">
                  <c:v>South South</c:v>
                </c:pt>
                <c:pt idx="5">
                  <c:v>South West</c:v>
                </c:pt>
              </c:strCache>
            </c:strRef>
          </c:cat>
          <c:val>
            <c:numRef>
              <c:f>'Pivot Table Analysis'!$G$17:$G$22</c:f>
              <c:numCache>
                <c:formatCode>[$₦-46A]#,##0</c:formatCode>
                <c:ptCount val="6"/>
                <c:pt idx="0">
                  <c:v>11032.13</c:v>
                </c:pt>
                <c:pt idx="1">
                  <c:v>10931.53</c:v>
                </c:pt>
                <c:pt idx="2">
                  <c:v>34520.629999999997</c:v>
                </c:pt>
                <c:pt idx="3">
                  <c:v>25365.89</c:v>
                </c:pt>
                <c:pt idx="4">
                  <c:v>9408.48</c:v>
                </c:pt>
                <c:pt idx="5">
                  <c:v>8675.92</c:v>
                </c:pt>
              </c:numCache>
            </c:numRef>
          </c:val>
          <c:extLst>
            <c:ext xmlns:c16="http://schemas.microsoft.com/office/drawing/2014/chart" uri="{C3380CC4-5D6E-409C-BE32-E72D297353CC}">
              <c16:uniqueId val="{00000002-ABBB-4DE6-BCA7-1470C13AEB71}"/>
            </c:ext>
          </c:extLst>
        </c:ser>
        <c:dLbls>
          <c:showLegendKey val="0"/>
          <c:showVal val="0"/>
          <c:showCatName val="0"/>
          <c:showSerName val="0"/>
          <c:showPercent val="0"/>
          <c:showBubbleSize val="0"/>
        </c:dLbls>
        <c:gapWidth val="150"/>
        <c:axId val="1367301823"/>
        <c:axId val="1564244575"/>
      </c:barChart>
      <c:catAx>
        <c:axId val="13673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4244575"/>
        <c:crosses val="autoZero"/>
        <c:auto val="1"/>
        <c:lblAlgn val="ctr"/>
        <c:lblOffset val="100"/>
        <c:noMultiLvlLbl val="0"/>
      </c:catAx>
      <c:valAx>
        <c:axId val="1564244575"/>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6730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chart" Target="../charts/chart1.xml"/><Relationship Id="rId7"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3</xdr:row>
      <xdr:rowOff>139130</xdr:rowOff>
    </xdr:from>
    <xdr:to>
      <xdr:col>1</xdr:col>
      <xdr:colOff>995309</xdr:colOff>
      <xdr:row>11</xdr:row>
      <xdr:rowOff>74915</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1" y="717051"/>
          <a:ext cx="1594634" cy="1476909"/>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11</xdr:row>
      <xdr:rowOff>149831</xdr:rowOff>
    </xdr:from>
    <xdr:to>
      <xdr:col>1</xdr:col>
      <xdr:colOff>995309</xdr:colOff>
      <xdr:row>17</xdr:row>
      <xdr:rowOff>160533</xdr:rowOff>
    </xdr:to>
    <xdr:sp macro="" textlink="">
      <xdr:nvSpPr>
        <xdr:cNvPr id="6" name="Rectangle 5">
          <a:extLst>
            <a:ext uri="{FF2B5EF4-FFF2-40B4-BE49-F238E27FC236}">
              <a16:creationId xmlns:a16="http://schemas.microsoft.com/office/drawing/2014/main" id="{00000000-0008-0000-0500-000006000000}"/>
            </a:ext>
          </a:extLst>
        </xdr:cNvPr>
        <xdr:cNvSpPr/>
      </xdr:nvSpPr>
      <xdr:spPr>
        <a:xfrm>
          <a:off x="1" y="2268876"/>
          <a:ext cx="1594634" cy="1166545"/>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128427</xdr:colOff>
      <xdr:row>7</xdr:row>
      <xdr:rowOff>180975</xdr:rowOff>
    </xdr:from>
    <xdr:to>
      <xdr:col>14</xdr:col>
      <xdr:colOff>21404</xdr:colOff>
      <xdr:row>17</xdr:row>
      <xdr:rowOff>152400</xdr:rowOff>
    </xdr:to>
    <xdr:sp macro="" textlink="">
      <xdr:nvSpPr>
        <xdr:cNvPr id="7" name="Rectangle 6">
          <a:extLst>
            <a:ext uri="{FF2B5EF4-FFF2-40B4-BE49-F238E27FC236}">
              <a16:creationId xmlns:a16="http://schemas.microsoft.com/office/drawing/2014/main" id="{00000000-0008-0000-0500-000007000000}"/>
            </a:ext>
          </a:extLst>
        </xdr:cNvPr>
        <xdr:cNvSpPr/>
      </xdr:nvSpPr>
      <xdr:spPr>
        <a:xfrm>
          <a:off x="5607978" y="1529458"/>
          <a:ext cx="3895617" cy="1897830"/>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1080927</xdr:colOff>
      <xdr:row>3</xdr:row>
      <xdr:rowOff>133351</xdr:rowOff>
    </xdr:from>
    <xdr:to>
      <xdr:col>4</xdr:col>
      <xdr:colOff>76200</xdr:colOff>
      <xdr:row>7</xdr:row>
      <xdr:rowOff>104776</xdr:rowOff>
    </xdr:to>
    <xdr:pic>
      <xdr:nvPicPr>
        <xdr:cNvPr id="11" name="Graphic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0253" y="711272"/>
          <a:ext cx="1863475" cy="741987"/>
        </a:xfrm>
        <a:prstGeom prst="rect">
          <a:avLst/>
        </a:prstGeom>
      </xdr:spPr>
    </xdr:pic>
    <xdr:clientData/>
  </xdr:twoCellAnchor>
  <xdr:twoCellAnchor editAs="oneCell">
    <xdr:from>
      <xdr:col>5</xdr:col>
      <xdr:colOff>47624</xdr:colOff>
      <xdr:row>3</xdr:row>
      <xdr:rowOff>133351</xdr:rowOff>
    </xdr:from>
    <xdr:to>
      <xdr:col>9</xdr:col>
      <xdr:colOff>42808</xdr:colOff>
      <xdr:row>7</xdr:row>
      <xdr:rowOff>104776</xdr:rowOff>
    </xdr:to>
    <xdr:pic>
      <xdr:nvPicPr>
        <xdr:cNvPr id="12" name="Graphic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11472" y="711272"/>
          <a:ext cx="1910887" cy="741987"/>
        </a:xfrm>
        <a:prstGeom prst="rect">
          <a:avLst/>
        </a:prstGeom>
      </xdr:spPr>
    </xdr:pic>
    <xdr:clientData/>
  </xdr:twoCellAnchor>
  <xdr:twoCellAnchor editAs="oneCell">
    <xdr:from>
      <xdr:col>9</xdr:col>
      <xdr:colOff>107021</xdr:colOff>
      <xdr:row>3</xdr:row>
      <xdr:rowOff>133351</xdr:rowOff>
    </xdr:from>
    <xdr:to>
      <xdr:col>13</xdr:col>
      <xdr:colOff>235449</xdr:colOff>
      <xdr:row>7</xdr:row>
      <xdr:rowOff>104776</xdr:rowOff>
    </xdr:to>
    <xdr:pic>
      <xdr:nvPicPr>
        <xdr:cNvPr id="13" name="Graphic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86572" y="711272"/>
          <a:ext cx="1915703" cy="741987"/>
        </a:xfrm>
        <a:prstGeom prst="rect">
          <a:avLst/>
        </a:prstGeom>
      </xdr:spPr>
    </xdr:pic>
    <xdr:clientData/>
  </xdr:twoCellAnchor>
  <xdr:twoCellAnchor editAs="oneCell">
    <xdr:from>
      <xdr:col>13</xdr:col>
      <xdr:colOff>299663</xdr:colOff>
      <xdr:row>3</xdr:row>
      <xdr:rowOff>133351</xdr:rowOff>
    </xdr:from>
    <xdr:to>
      <xdr:col>14</xdr:col>
      <xdr:colOff>42649</xdr:colOff>
      <xdr:row>7</xdr:row>
      <xdr:rowOff>104776</xdr:rowOff>
    </xdr:to>
    <xdr:pic>
      <xdr:nvPicPr>
        <xdr:cNvPr id="14" name="Graphic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64253" y="687791"/>
          <a:ext cx="1989180" cy="710679"/>
        </a:xfrm>
        <a:prstGeom prst="rect">
          <a:avLst/>
        </a:prstGeom>
      </xdr:spPr>
    </xdr:pic>
    <xdr:clientData/>
  </xdr:twoCellAnchor>
  <xdr:twoCellAnchor>
    <xdr:from>
      <xdr:col>1</xdr:col>
      <xdr:colOff>1070226</xdr:colOff>
      <xdr:row>7</xdr:row>
      <xdr:rowOff>180976</xdr:rowOff>
    </xdr:from>
    <xdr:to>
      <xdr:col>9</xdr:col>
      <xdr:colOff>42809</xdr:colOff>
      <xdr:row>17</xdr:row>
      <xdr:rowOff>152400</xdr:rowOff>
    </xdr:to>
    <xdr:sp macro="" textlink="">
      <xdr:nvSpPr>
        <xdr:cNvPr id="15" name="Rectangle 14">
          <a:extLst>
            <a:ext uri="{FF2B5EF4-FFF2-40B4-BE49-F238E27FC236}">
              <a16:creationId xmlns:a16="http://schemas.microsoft.com/office/drawing/2014/main" id="{00000000-0008-0000-0500-00000F000000}"/>
            </a:ext>
          </a:extLst>
        </xdr:cNvPr>
        <xdr:cNvSpPr/>
      </xdr:nvSpPr>
      <xdr:spPr>
        <a:xfrm>
          <a:off x="1669552" y="1529459"/>
          <a:ext cx="3852808" cy="1897829"/>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1080928</xdr:colOff>
      <xdr:row>18</xdr:row>
      <xdr:rowOff>66676</xdr:rowOff>
    </xdr:from>
    <xdr:to>
      <xdr:col>10</xdr:col>
      <xdr:colOff>51956</xdr:colOff>
      <xdr:row>31</xdr:row>
      <xdr:rowOff>0</xdr:rowOff>
    </xdr:to>
    <xdr:sp macro="" textlink="">
      <xdr:nvSpPr>
        <xdr:cNvPr id="16" name="Rectangle 15">
          <a:extLst>
            <a:ext uri="{FF2B5EF4-FFF2-40B4-BE49-F238E27FC236}">
              <a16:creationId xmlns:a16="http://schemas.microsoft.com/office/drawing/2014/main" id="{00000000-0008-0000-0500-000010000000}"/>
            </a:ext>
          </a:extLst>
        </xdr:cNvPr>
        <xdr:cNvSpPr/>
      </xdr:nvSpPr>
      <xdr:spPr>
        <a:xfrm>
          <a:off x="1680254" y="3534204"/>
          <a:ext cx="4439876" cy="2437650"/>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1043178</xdr:colOff>
      <xdr:row>7</xdr:row>
      <xdr:rowOff>160534</xdr:rowOff>
    </xdr:from>
    <xdr:to>
      <xdr:col>9</xdr:col>
      <xdr:colOff>32106</xdr:colOff>
      <xdr:row>17</xdr:row>
      <xdr:rowOff>117724</xdr:rowOff>
    </xdr:to>
    <xdr:graphicFrame macro="">
      <xdr:nvGraphicFramePr>
        <xdr:cNvPr id="3" name="Chart 2">
          <a:extLst>
            <a:ext uri="{FF2B5EF4-FFF2-40B4-BE49-F238E27FC236}">
              <a16:creationId xmlns:a16="http://schemas.microsoft.com/office/drawing/2014/main" id="{5EDF5796-950D-4B45-9905-F644B1A9F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156382</xdr:colOff>
      <xdr:row>18</xdr:row>
      <xdr:rowOff>77066</xdr:rowOff>
    </xdr:from>
    <xdr:to>
      <xdr:col>14</xdr:col>
      <xdr:colOff>21405</xdr:colOff>
      <xdr:row>31</xdr:row>
      <xdr:rowOff>0</xdr:rowOff>
    </xdr:to>
    <xdr:sp macro="" textlink="">
      <xdr:nvSpPr>
        <xdr:cNvPr id="4" name="Rectangle 3">
          <a:extLst>
            <a:ext uri="{FF2B5EF4-FFF2-40B4-BE49-F238E27FC236}">
              <a16:creationId xmlns:a16="http://schemas.microsoft.com/office/drawing/2014/main" id="{D2FE6C6C-A4ED-4212-99C7-DFC10133347A}"/>
            </a:ext>
          </a:extLst>
        </xdr:cNvPr>
        <xdr:cNvSpPr/>
      </xdr:nvSpPr>
      <xdr:spPr>
        <a:xfrm>
          <a:off x="6226792" y="3403708"/>
          <a:ext cx="3276964" cy="2325508"/>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32107</xdr:colOff>
      <xdr:row>3</xdr:row>
      <xdr:rowOff>171236</xdr:rowOff>
    </xdr:from>
    <xdr:to>
      <xdr:col>3</xdr:col>
      <xdr:colOff>877584</xdr:colOff>
      <xdr:row>5</xdr:row>
      <xdr:rowOff>0</xdr:rowOff>
    </xdr:to>
    <xdr:sp macro="" textlink="">
      <xdr:nvSpPr>
        <xdr:cNvPr id="5" name="TextBox 4">
          <a:extLst>
            <a:ext uri="{FF2B5EF4-FFF2-40B4-BE49-F238E27FC236}">
              <a16:creationId xmlns:a16="http://schemas.microsoft.com/office/drawing/2014/main" id="{F3754BCD-36B0-8C60-6431-4A6C7400B33F}"/>
            </a:ext>
          </a:extLst>
        </xdr:cNvPr>
        <xdr:cNvSpPr txBox="1"/>
      </xdr:nvSpPr>
      <xdr:spPr>
        <a:xfrm>
          <a:off x="1808680" y="749157"/>
          <a:ext cx="1583932" cy="21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34675</xdr:colOff>
      <xdr:row>3</xdr:row>
      <xdr:rowOff>184508</xdr:rowOff>
    </xdr:from>
    <xdr:to>
      <xdr:col>7</xdr:col>
      <xdr:colOff>109590</xdr:colOff>
      <xdr:row>5</xdr:row>
      <xdr:rowOff>13272</xdr:rowOff>
    </xdr:to>
    <xdr:sp macro="" textlink="">
      <xdr:nvSpPr>
        <xdr:cNvPr id="8" name="TextBox 7">
          <a:extLst>
            <a:ext uri="{FF2B5EF4-FFF2-40B4-BE49-F238E27FC236}">
              <a16:creationId xmlns:a16="http://schemas.microsoft.com/office/drawing/2014/main" id="{636D0A80-01BF-4E23-95B2-2CCE2659E78A}"/>
            </a:ext>
          </a:extLst>
        </xdr:cNvPr>
        <xdr:cNvSpPr txBox="1"/>
      </xdr:nvSpPr>
      <xdr:spPr>
        <a:xfrm>
          <a:off x="3181136" y="762429"/>
          <a:ext cx="1583932" cy="21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Times New Roman" panose="02020603050405020304" pitchFamily="18" charset="0"/>
              <a:cs typeface="Times New Roman" panose="02020603050405020304" pitchFamily="18" charset="0"/>
            </a:rPr>
            <a:t>Total Quantity</a:t>
          </a:r>
          <a:r>
            <a:rPr lang="en-US" sz="1000" b="1" baseline="0">
              <a:latin typeface="Times New Roman" panose="02020603050405020304" pitchFamily="18" charset="0"/>
              <a:cs typeface="Times New Roman" panose="02020603050405020304" pitchFamily="18" charset="0"/>
            </a:rPr>
            <a:t> Sold</a:t>
          </a:r>
          <a:endParaRPr lang="en-US" sz="1000" b="1">
            <a:latin typeface="Times New Roman" panose="02020603050405020304" pitchFamily="18" charset="0"/>
            <a:cs typeface="Times New Roman" panose="02020603050405020304" pitchFamily="18" charset="0"/>
          </a:endParaRPr>
        </a:p>
      </xdr:txBody>
    </xdr:sp>
    <xdr:clientData/>
  </xdr:twoCellAnchor>
  <xdr:twoCellAnchor>
    <xdr:from>
      <xdr:col>9</xdr:col>
      <xdr:colOff>154967</xdr:colOff>
      <xdr:row>3</xdr:row>
      <xdr:rowOff>187076</xdr:rowOff>
    </xdr:from>
    <xdr:to>
      <xdr:col>12</xdr:col>
      <xdr:colOff>37242</xdr:colOff>
      <xdr:row>5</xdr:row>
      <xdr:rowOff>15840</xdr:rowOff>
    </xdr:to>
    <xdr:sp macro="" textlink="">
      <xdr:nvSpPr>
        <xdr:cNvPr id="9" name="TextBox 8">
          <a:extLst>
            <a:ext uri="{FF2B5EF4-FFF2-40B4-BE49-F238E27FC236}">
              <a16:creationId xmlns:a16="http://schemas.microsoft.com/office/drawing/2014/main" id="{FD9EEF75-8DDF-4E55-B8C6-A9F0E7497AA8}"/>
            </a:ext>
          </a:extLst>
        </xdr:cNvPr>
        <xdr:cNvSpPr txBox="1"/>
      </xdr:nvSpPr>
      <xdr:spPr>
        <a:xfrm>
          <a:off x="5634518" y="764997"/>
          <a:ext cx="1583932" cy="21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Times New Roman" panose="02020603050405020304" pitchFamily="18" charset="0"/>
              <a:cs typeface="Times New Roman" panose="02020603050405020304" pitchFamily="18" charset="0"/>
            </a:rPr>
            <a:t>Total No.</a:t>
          </a:r>
          <a:r>
            <a:rPr lang="en-US" sz="1000" b="1" baseline="0">
              <a:latin typeface="Times New Roman" panose="02020603050405020304" pitchFamily="18" charset="0"/>
              <a:cs typeface="Times New Roman" panose="02020603050405020304" pitchFamily="18" charset="0"/>
            </a:rPr>
            <a:t> of Orders</a:t>
          </a:r>
          <a:endParaRPr lang="en-US" sz="1000" b="1">
            <a:latin typeface="Times New Roman" panose="02020603050405020304" pitchFamily="18" charset="0"/>
            <a:cs typeface="Times New Roman" panose="02020603050405020304" pitchFamily="18" charset="0"/>
          </a:endParaRPr>
        </a:p>
      </xdr:txBody>
    </xdr:sp>
    <xdr:clientData/>
  </xdr:twoCellAnchor>
  <xdr:twoCellAnchor>
    <xdr:from>
      <xdr:col>13</xdr:col>
      <xdr:colOff>392988</xdr:colOff>
      <xdr:row>3</xdr:row>
      <xdr:rowOff>178942</xdr:rowOff>
    </xdr:from>
    <xdr:to>
      <xdr:col>13</xdr:col>
      <xdr:colOff>1976920</xdr:colOff>
      <xdr:row>5</xdr:row>
      <xdr:rowOff>7706</xdr:rowOff>
    </xdr:to>
    <xdr:sp macro="" textlink="">
      <xdr:nvSpPr>
        <xdr:cNvPr id="10" name="TextBox 9">
          <a:extLst>
            <a:ext uri="{FF2B5EF4-FFF2-40B4-BE49-F238E27FC236}">
              <a16:creationId xmlns:a16="http://schemas.microsoft.com/office/drawing/2014/main" id="{99BF41C2-BE8C-4BE9-A077-1653E28942A0}"/>
            </a:ext>
          </a:extLst>
        </xdr:cNvPr>
        <xdr:cNvSpPr txBox="1"/>
      </xdr:nvSpPr>
      <xdr:spPr>
        <a:xfrm>
          <a:off x="7659814" y="756863"/>
          <a:ext cx="1583932" cy="21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Times New Roman" panose="02020603050405020304" pitchFamily="18" charset="0"/>
              <a:cs typeface="Times New Roman" panose="02020603050405020304" pitchFamily="18" charset="0"/>
            </a:rPr>
            <a:t>Average</a:t>
          </a:r>
          <a:r>
            <a:rPr lang="en-US" sz="1000" b="1" baseline="0">
              <a:latin typeface="Times New Roman" panose="02020603050405020304" pitchFamily="18" charset="0"/>
              <a:cs typeface="Times New Roman" panose="02020603050405020304" pitchFamily="18" charset="0"/>
            </a:rPr>
            <a:t> Order Value (AOV)</a:t>
          </a:r>
          <a:endParaRPr lang="en-US" sz="10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21405</xdr:colOff>
      <xdr:row>11</xdr:row>
      <xdr:rowOff>153043</xdr:rowOff>
    </xdr:from>
    <xdr:to>
      <xdr:col>1</xdr:col>
      <xdr:colOff>984606</xdr:colOff>
      <xdr:row>17</xdr:row>
      <xdr:rowOff>149831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8F8BEF3E-64B5-08FA-F7DB-E3A8A7FB01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05" y="2185991"/>
              <a:ext cx="1560291" cy="1105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21404</xdr:colOff>
      <xdr:row>18</xdr:row>
      <xdr:rowOff>74917</xdr:rowOff>
    </xdr:from>
    <xdr:to>
      <xdr:col>1</xdr:col>
      <xdr:colOff>984606</xdr:colOff>
      <xdr:row>24</xdr:row>
      <xdr:rowOff>85618</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D1C0BB7A-8B1B-D2C6-31AE-DD472B5D88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404" y="3401559"/>
              <a:ext cx="1560292" cy="1119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174447</xdr:rowOff>
    </xdr:from>
    <xdr:to>
      <xdr:col>1</xdr:col>
      <xdr:colOff>1028306</xdr:colOff>
      <xdr:row>31</xdr:row>
      <xdr:rowOff>14684</xdr:rowOff>
    </xdr:to>
    <mc:AlternateContent xmlns:mc="http://schemas.openxmlformats.org/markup-compatibility/2006">
      <mc:Choice xmlns:a14="http://schemas.microsoft.com/office/drawing/2010/main" Requires="a14">
        <xdr:graphicFrame macro="">
          <xdr:nvGraphicFramePr>
            <xdr:cNvPr id="19" name="Product Name">
              <a:extLst>
                <a:ext uri="{FF2B5EF4-FFF2-40B4-BE49-F238E27FC236}">
                  <a16:creationId xmlns:a16="http://schemas.microsoft.com/office/drawing/2014/main" id="{C9B140E0-74FC-F4B2-9CE5-BC5BA0B7D51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0" y="4609969"/>
              <a:ext cx="1625396" cy="1133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xdr:row>
      <xdr:rowOff>160534</xdr:rowOff>
    </xdr:from>
    <xdr:to>
      <xdr:col>1</xdr:col>
      <xdr:colOff>963203</xdr:colOff>
      <xdr:row>11</xdr:row>
      <xdr:rowOff>42810</xdr:rowOff>
    </xdr:to>
    <mc:AlternateContent xmlns:mc="http://schemas.openxmlformats.org/markup-compatibility/2006" xmlns:tsle="http://schemas.microsoft.com/office/drawing/2012/timeslicer">
      <mc:Choice Requires="tsle">
        <xdr:graphicFrame macro="">
          <xdr:nvGraphicFramePr>
            <xdr:cNvPr id="20" name="Order Date">
              <a:extLst>
                <a:ext uri="{FF2B5EF4-FFF2-40B4-BE49-F238E27FC236}">
                  <a16:creationId xmlns:a16="http://schemas.microsoft.com/office/drawing/2014/main" id="{6A9E010C-B599-96A1-E046-5669A87C4B3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738455"/>
              <a:ext cx="1680253" cy="1423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18</xdr:row>
      <xdr:rowOff>66783</xdr:rowOff>
    </xdr:from>
    <xdr:to>
      <xdr:col>1</xdr:col>
      <xdr:colOff>995309</xdr:colOff>
      <xdr:row>24</xdr:row>
      <xdr:rowOff>77485</xdr:rowOff>
    </xdr:to>
    <xdr:sp macro="" textlink="">
      <xdr:nvSpPr>
        <xdr:cNvPr id="21" name="Rectangle 20">
          <a:extLst>
            <a:ext uri="{FF2B5EF4-FFF2-40B4-BE49-F238E27FC236}">
              <a16:creationId xmlns:a16="http://schemas.microsoft.com/office/drawing/2014/main" id="{D9353F72-75DA-4644-81EA-19399A4E1383}"/>
            </a:ext>
          </a:extLst>
        </xdr:cNvPr>
        <xdr:cNvSpPr/>
      </xdr:nvSpPr>
      <xdr:spPr>
        <a:xfrm>
          <a:off x="0" y="3534311"/>
          <a:ext cx="1594635" cy="1166545"/>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24</xdr:row>
      <xdr:rowOff>176374</xdr:rowOff>
    </xdr:from>
    <xdr:to>
      <xdr:col>1</xdr:col>
      <xdr:colOff>995308</xdr:colOff>
      <xdr:row>30</xdr:row>
      <xdr:rowOff>187077</xdr:rowOff>
    </xdr:to>
    <xdr:sp macro="" textlink="">
      <xdr:nvSpPr>
        <xdr:cNvPr id="22" name="Rectangle 21">
          <a:extLst>
            <a:ext uri="{FF2B5EF4-FFF2-40B4-BE49-F238E27FC236}">
              <a16:creationId xmlns:a16="http://schemas.microsoft.com/office/drawing/2014/main" id="{DD9912D0-E3D9-47EF-9979-69C1FF4ED7F2}"/>
            </a:ext>
          </a:extLst>
        </xdr:cNvPr>
        <xdr:cNvSpPr/>
      </xdr:nvSpPr>
      <xdr:spPr>
        <a:xfrm>
          <a:off x="0" y="4799745"/>
          <a:ext cx="1594634" cy="1166545"/>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160532</xdr:colOff>
      <xdr:row>3</xdr:row>
      <xdr:rowOff>177701</xdr:rowOff>
    </xdr:from>
    <xdr:to>
      <xdr:col>8</xdr:col>
      <xdr:colOff>171233</xdr:colOff>
      <xdr:row>5</xdr:row>
      <xdr:rowOff>17166</xdr:rowOff>
    </xdr:to>
    <xdr:pic>
      <xdr:nvPicPr>
        <xdr:cNvPr id="34" name="Picture 33">
          <a:extLst>
            <a:ext uri="{FF2B5EF4-FFF2-40B4-BE49-F238E27FC236}">
              <a16:creationId xmlns:a16="http://schemas.microsoft.com/office/drawing/2014/main" id="{E5B0EAAC-0D0D-B576-6C6F-8787055ECB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33397" y="755622"/>
          <a:ext cx="224746" cy="224746"/>
        </a:xfrm>
        <a:prstGeom prst="rect">
          <a:avLst/>
        </a:prstGeom>
      </xdr:spPr>
    </xdr:pic>
    <xdr:clientData/>
  </xdr:twoCellAnchor>
  <xdr:twoCellAnchor editAs="oneCell">
    <xdr:from>
      <xdr:col>13</xdr:col>
      <xdr:colOff>1926400</xdr:colOff>
      <xdr:row>3</xdr:row>
      <xdr:rowOff>181938</xdr:rowOff>
    </xdr:from>
    <xdr:to>
      <xdr:col>13</xdr:col>
      <xdr:colOff>2172552</xdr:colOff>
      <xdr:row>5</xdr:row>
      <xdr:rowOff>42809</xdr:rowOff>
    </xdr:to>
    <xdr:pic>
      <xdr:nvPicPr>
        <xdr:cNvPr id="36" name="Picture 35">
          <a:extLst>
            <a:ext uri="{FF2B5EF4-FFF2-40B4-BE49-F238E27FC236}">
              <a16:creationId xmlns:a16="http://schemas.microsoft.com/office/drawing/2014/main" id="{5E6ED440-203B-0252-7590-8EEBD7DFBF5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93226" y="759859"/>
          <a:ext cx="246152" cy="246152"/>
        </a:xfrm>
        <a:prstGeom prst="rect">
          <a:avLst/>
        </a:prstGeom>
      </xdr:spPr>
    </xdr:pic>
    <xdr:clientData/>
  </xdr:twoCellAnchor>
  <xdr:twoCellAnchor editAs="oneCell">
    <xdr:from>
      <xdr:col>12</xdr:col>
      <xdr:colOff>21404</xdr:colOff>
      <xdr:row>4</xdr:row>
      <xdr:rowOff>10704</xdr:rowOff>
    </xdr:from>
    <xdr:to>
      <xdr:col>13</xdr:col>
      <xdr:colOff>171233</xdr:colOff>
      <xdr:row>5</xdr:row>
      <xdr:rowOff>53511</xdr:rowOff>
    </xdr:to>
    <xdr:pic>
      <xdr:nvPicPr>
        <xdr:cNvPr id="38" name="Picture 37">
          <a:extLst>
            <a:ext uri="{FF2B5EF4-FFF2-40B4-BE49-F238E27FC236}">
              <a16:creationId xmlns:a16="http://schemas.microsoft.com/office/drawing/2014/main" id="{F53D6DA3-1E97-E5AE-1B42-821D0C69691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02612" y="781266"/>
          <a:ext cx="235447" cy="235447"/>
        </a:xfrm>
        <a:prstGeom prst="rect">
          <a:avLst/>
        </a:prstGeom>
      </xdr:spPr>
    </xdr:pic>
    <xdr:clientData/>
  </xdr:twoCellAnchor>
  <xdr:twoCellAnchor editAs="oneCell">
    <xdr:from>
      <xdr:col>3</xdr:col>
      <xdr:colOff>743039</xdr:colOff>
      <xdr:row>3</xdr:row>
      <xdr:rowOff>186520</xdr:rowOff>
    </xdr:from>
    <xdr:to>
      <xdr:col>4</xdr:col>
      <xdr:colOff>21407</xdr:colOff>
      <xdr:row>5</xdr:row>
      <xdr:rowOff>32107</xdr:rowOff>
    </xdr:to>
    <xdr:pic>
      <xdr:nvPicPr>
        <xdr:cNvPr id="40" name="Picture 39">
          <a:extLst>
            <a:ext uri="{FF2B5EF4-FFF2-40B4-BE49-F238E27FC236}">
              <a16:creationId xmlns:a16="http://schemas.microsoft.com/office/drawing/2014/main" id="{84909E16-085C-44A0-C886-8ECF417A56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3258067" y="764441"/>
          <a:ext cx="230868" cy="230868"/>
        </a:xfrm>
        <a:prstGeom prst="rect">
          <a:avLst/>
        </a:prstGeom>
      </xdr:spPr>
    </xdr:pic>
    <xdr:clientData/>
  </xdr:twoCellAnchor>
  <xdr:twoCellAnchor>
    <xdr:from>
      <xdr:col>9</xdr:col>
      <xdr:colOff>428089</xdr:colOff>
      <xdr:row>18</xdr:row>
      <xdr:rowOff>74916</xdr:rowOff>
    </xdr:from>
    <xdr:to>
      <xdr:col>14</xdr:col>
      <xdr:colOff>96321</xdr:colOff>
      <xdr:row>31</xdr:row>
      <xdr:rowOff>107022</xdr:rowOff>
    </xdr:to>
    <xdr:graphicFrame macro="">
      <xdr:nvGraphicFramePr>
        <xdr:cNvPr id="41" name="Chart 40">
          <a:extLst>
            <a:ext uri="{FF2B5EF4-FFF2-40B4-BE49-F238E27FC236}">
              <a16:creationId xmlns:a16="http://schemas.microsoft.com/office/drawing/2014/main" id="{E1DAAA4F-30A3-47CF-A92B-338FBE9D1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85614</xdr:colOff>
      <xdr:row>7</xdr:row>
      <xdr:rowOff>128427</xdr:rowOff>
    </xdr:from>
    <xdr:to>
      <xdr:col>14</xdr:col>
      <xdr:colOff>107022</xdr:colOff>
      <xdr:row>17</xdr:row>
      <xdr:rowOff>149830</xdr:rowOff>
    </xdr:to>
    <xdr:graphicFrame macro="">
      <xdr:nvGraphicFramePr>
        <xdr:cNvPr id="42" name="Chart 41">
          <a:extLst>
            <a:ext uri="{FF2B5EF4-FFF2-40B4-BE49-F238E27FC236}">
              <a16:creationId xmlns:a16="http://schemas.microsoft.com/office/drawing/2014/main" id="{3CAFA44C-6D4A-45E4-B299-8B6C3DE47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53511</xdr:colOff>
      <xdr:row>0</xdr:row>
      <xdr:rowOff>10703</xdr:rowOff>
    </xdr:from>
    <xdr:to>
      <xdr:col>1</xdr:col>
      <xdr:colOff>246148</xdr:colOff>
      <xdr:row>3</xdr:row>
      <xdr:rowOff>10700</xdr:rowOff>
    </xdr:to>
    <xdr:pic>
      <xdr:nvPicPr>
        <xdr:cNvPr id="44" name="Picture 43">
          <a:extLst>
            <a:ext uri="{FF2B5EF4-FFF2-40B4-BE49-F238E27FC236}">
              <a16:creationId xmlns:a16="http://schemas.microsoft.com/office/drawing/2014/main" id="{8A675223-9FAC-BC40-F783-2D3F30EB98B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3511" y="10703"/>
          <a:ext cx="791963" cy="577918"/>
        </a:xfrm>
        <a:prstGeom prst="rect">
          <a:avLst/>
        </a:prstGeom>
      </xdr:spPr>
    </xdr:pic>
    <xdr:clientData/>
  </xdr:twoCellAnchor>
  <xdr:twoCellAnchor>
    <xdr:from>
      <xdr:col>1</xdr:col>
      <xdr:colOff>1091630</xdr:colOff>
      <xdr:row>18</xdr:row>
      <xdr:rowOff>53513</xdr:rowOff>
    </xdr:from>
    <xdr:to>
      <xdr:col>10</xdr:col>
      <xdr:colOff>21406</xdr:colOff>
      <xdr:row>30</xdr:row>
      <xdr:rowOff>160534</xdr:rowOff>
    </xdr:to>
    <xdr:graphicFrame macro="">
      <xdr:nvGraphicFramePr>
        <xdr:cNvPr id="23" name="Chart 22">
          <a:extLst>
            <a:ext uri="{FF2B5EF4-FFF2-40B4-BE49-F238E27FC236}">
              <a16:creationId xmlns:a16="http://schemas.microsoft.com/office/drawing/2014/main" id="{CD7433AA-AF7E-4A1D-A75E-95E213E5E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6759258" backgroundQuery="1" createdVersion="8" refreshedVersion="8" minRefreshableVersion="3" recordCount="0" supportSubquery="1" supportAdvancedDrill="1" xr:uid="{E46B849F-0E30-4F40-B7B0-ABEB6C0BA45F}">
  <cacheSource type="external" connectionId="3"/>
  <cacheFields count="2">
    <cacheField name="[PQ_cleaned_data].[Product Name].[Product Name]" caption="Product Name" numFmtId="0" hierarchy="3" level="1">
      <sharedItems count="5">
        <s v="Backpack"/>
        <s v="Laptop Sleeve"/>
        <s v="Notebook"/>
        <s v="Water Bottle"/>
        <s v="Wireless Mouse"/>
      </sharedItems>
    </cacheField>
    <cacheField name="[Measures].[Sum of Total Sales]" caption="Sum of Total Sales" numFmtId="0" hierarchy="23" level="32767"/>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7106481" backgroundQuery="1" createdVersion="8" refreshedVersion="8" minRefreshableVersion="3" recordCount="0" supportSubquery="1" supportAdvancedDrill="1" xr:uid="{7D8365D1-0AE8-4BB3-A05C-05D7395278BC}">
  <cacheSource type="external" connectionId="3"/>
  <cacheFields count="2">
    <cacheField name="[PQ_cleaned_data].[Product Name].[Product Name]" caption="Product Name" numFmtId="0" hierarchy="3" level="1">
      <sharedItems count="5">
        <s v="Backpack"/>
        <s v="Laptop Sleeve"/>
        <s v="Notebook"/>
        <s v="Water Bottle"/>
        <s v="Wireless Mouse"/>
      </sharedItems>
    </cacheField>
    <cacheField name="[Measures].[Sum of Total Sales]" caption="Sum of Total Sales" numFmtId="0" hierarchy="23" level="32767"/>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7569443" backgroundQuery="1" createdVersion="8" refreshedVersion="8" minRefreshableVersion="3" recordCount="0" supportSubquery="1" supportAdvancedDrill="1" xr:uid="{F3098D93-9438-4733-8CA0-37F3D4A743DC}">
  <cacheSource type="external" connectionId="3"/>
  <cacheFields count="2">
    <cacheField name="[PQ_cleaned_data].[Product Name].[Product Name]" caption="Product Name" numFmtId="0" hierarchy="3" level="1">
      <sharedItems count="5">
        <s v="Backpack"/>
        <s v="Laptop Sleeve"/>
        <s v="Notebook"/>
        <s v="Water Bottle"/>
        <s v="Wireless Mouse"/>
      </sharedItems>
    </cacheField>
    <cacheField name="[Measures].[Sum of Quantity Sold]" caption="Sum of Quantity Sold" numFmtId="0" hierarchy="24" level="32767"/>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7685189" backgroundQuery="1" createdVersion="8" refreshedVersion="8" minRefreshableVersion="3" recordCount="0" supportSubquery="1" supportAdvancedDrill="1" xr:uid="{C20AF7DD-9D52-471D-AA41-C82446536890}">
  <cacheSource type="external" connectionId="3"/>
  <cacheFields count="2">
    <cacheField name="[PQ_cleaned_data].[Product Name].[Product Name]" caption="Product Name" numFmtId="0" hierarchy="3" level="1">
      <sharedItems count="5">
        <s v="Backpack"/>
        <s v="Laptop Sleeve"/>
        <s v="Notebook"/>
        <s v="Water Bottle"/>
        <s v="Wireless Mouse"/>
      </sharedItems>
    </cacheField>
    <cacheField name="[Measures].[Distinct Count of Order ID]" caption="Distinct Count of Order ID" numFmtId="0" hierarchy="26" level="32767"/>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8263889" backgroundQuery="1" createdVersion="8" refreshedVersion="8" minRefreshableVersion="3" recordCount="0" supportSubquery="1" supportAdvancedDrill="1" xr:uid="{BCC04835-5240-444F-A969-0C35073BEFBD}">
  <cacheSource type="external" connectionId="3"/>
  <cacheFields count="3">
    <cacheField name="[PQ_cleaned_data].[Product Name].[Product Name]" caption="Product Name" numFmtId="0" hierarchy="3" level="1">
      <sharedItems count="5">
        <s v="Backpack"/>
        <s v="Laptop Sleeve"/>
        <s v="Notebook"/>
        <s v="Water Bottle"/>
        <s v="Wireless Mouse"/>
      </sharedItems>
    </cacheField>
    <cacheField name="[PQ_cleaned_data].[Category].[Category]" caption="Category" numFmtId="0" hierarchy="4" level="1">
      <sharedItems count="4">
        <s v="Accessories"/>
        <s v="Electronics"/>
        <s v="Home Office"/>
        <s v="Stationery"/>
      </sharedItems>
    </cacheField>
    <cacheField name="[Measures].[Sum of Total Sales]" caption="Sum of Total Sales" numFmtId="0" hierarchy="23" level="32767"/>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fieldsUsage count="2">
        <fieldUsage x="-1"/>
        <fieldUsage x="1"/>
      </fieldsUsage>
    </cacheHierarchy>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884259" backgroundQuery="1" createdVersion="8" refreshedVersion="8" minRefreshableVersion="3" recordCount="0" supportSubquery="1" supportAdvancedDrill="1" xr:uid="{B05CF651-2BE2-406D-B995-88F82474F446}">
  <cacheSource type="external" connectionId="3"/>
  <cacheFields count="3">
    <cacheField name="[PQ_cleaned_data].[Product Name].[Product Name]" caption="Product Name" numFmtId="0" hierarchy="3" level="1">
      <sharedItems count="5">
        <s v="Backpack"/>
        <s v="Laptop Sleeve"/>
        <s v="Notebook"/>
        <s v="Water Bottle"/>
        <s v="Wireless Mouse"/>
      </sharedItems>
    </cacheField>
    <cacheField name="[PQ_cleaned_data].[Order Date (Month)].[Order Date (Month)]" caption="Order Date (Month)" numFmtId="0" hierarchy="19" level="1">
      <sharedItems count="11">
        <s v="Jan"/>
        <s v="Feb"/>
        <s v="Mar"/>
        <s v="Apr"/>
        <s v="May"/>
        <s v="Jun"/>
        <s v="Jul"/>
        <s v="Aug"/>
        <s v="Sep"/>
        <s v="Oct"/>
        <s v="Nov"/>
      </sharedItems>
    </cacheField>
    <cacheField name="[Measures].[Sum of Total Sales]" caption="Sum of Total Sales" numFmtId="0" hierarchy="23" level="32767"/>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2" memberValueDatatype="130" unbalanced="0">
      <fieldsUsage count="2">
        <fieldUsage x="-1"/>
        <fieldUsage x="1"/>
      </fieldsUsage>
    </cacheHierarchy>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415099305559" backgroundQuery="1" createdVersion="8" refreshedVersion="8" minRefreshableVersion="3" recordCount="0" supportSubquery="1" supportAdvancedDrill="1" xr:uid="{B3C3A9E9-DCC0-44B9-9C3C-434757AE6926}">
  <cacheSource type="external" connectionId="3"/>
  <cacheFields count="4">
    <cacheField name="[PQ_cleaned_data].[Product Name].[Product Name]" caption="Product Name" numFmtId="0" hierarchy="3" level="1">
      <sharedItems count="8">
        <s v="Backpack"/>
        <s v="Bluetooth Speaker"/>
        <s v="Desk Lamp"/>
        <s v="Laptop Sleeve"/>
        <s v="Notebook"/>
        <s v="Keyboard"/>
        <s v="Wireless Mouse"/>
        <s v="Water Bottle"/>
      </sharedItems>
    </cacheField>
    <cacheField name="[PQ_cleaned_data].[Region].[Region]" caption="Region" numFmtId="0" hierarchy="5" level="1">
      <sharedItems count="6">
        <s v="North Central"/>
        <s v="North East"/>
        <s v="North West"/>
        <s v="South East"/>
        <s v="South South"/>
        <s v="South West"/>
      </sharedItems>
    </cacheField>
    <cacheField name="[Measures].[Sum of Total Sales]" caption="Sum of Total Sales" numFmtId="0" hierarchy="23" level="32767"/>
    <cacheField name="[PQ_cleaned_data].[Reorder Level].[Reorder Level]" caption="Reorder Level" numFmtId="0" hierarchy="14" level="1">
      <sharedItems containsSemiMixedTypes="0" containsString="0" containsNumber="1" containsInteger="1" minValue="20" maxValue="50" count="3">
        <n v="20"/>
        <n v="30"/>
        <n v="50"/>
      </sharedItems>
      <extLst>
        <ext xmlns:x15="http://schemas.microsoft.com/office/spreadsheetml/2010/11/main" uri="{4F2E5C28-24EA-4eb8-9CBF-B6C8F9C3D259}">
          <x15:cachedUniqueNames>
            <x15:cachedUniqueName index="0" name="[PQ_cleaned_data].[Reorder Level].&amp;[20]"/>
            <x15:cachedUniqueName index="1" name="[PQ_cleaned_data].[Reorder Level].&amp;[30]"/>
            <x15:cachedUniqueName index="2" name="[PQ_cleaned_data].[Reorder Level].&amp;[50]"/>
          </x15:cachedUniqueNames>
        </ext>
      </extLst>
    </cacheField>
  </cacheFields>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fieldsUsage count="2">
        <fieldUsage x="-1"/>
        <fieldUsage x="0"/>
      </fieldsUsage>
    </cacheHierarchy>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fieldsUsage count="2">
        <fieldUsage x="-1"/>
        <fieldUsage x="1"/>
      </fieldsUsage>
    </cacheHierarchy>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2" memberValueDatatype="20" unbalanced="0">
      <fieldsUsage count="2">
        <fieldUsage x="-1"/>
        <fieldUsage x="3"/>
      </fieldsUsage>
    </cacheHierarchy>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2"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PQ_cleaned_data" uniqueName="[PQ_cleaned_data]" caption="PQ_cleaned_data"/>
  </dimensions>
  <measureGroups count="1">
    <measureGroup name="PQ_cleaned_data" caption="PQ_clean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379098379628" backgroundQuery="1" createdVersion="3" refreshedVersion="8" minRefreshableVersion="3" recordCount="0" supportSubquery="1" supportAdvancedDrill="1" xr:uid="{6AB48D91-FEDD-412D-97AC-66AFD15146E1}">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0"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2" memberValueDatatype="130" unbalanced="0"/>
    <cacheHierarchy uniqueName="[PQ_cleaned_data].[Category]" caption="Category" attribute="1" defaultMemberUniqueName="[PQ_cleaned_data].[Category].[All]" allUniqueName="[PQ_cleaned_data].[Category].[All]" dimensionUniqueName="[PQ_cleaned_data]" displayFolder="" count="2" memberValueDatatype="130" unbalanced="0"/>
    <cacheHierarchy uniqueName="[PQ_cleaned_data].[Region]" caption="Region" attribute="1" defaultMemberUniqueName="[PQ_cleaned_data].[Region].[All]" allUniqueName="[PQ_cleaned_data].[Region].[All]" dimensionUniqueName="[PQ_cleaned_data]" displayFolder="" count="2"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11286214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379099305559" backgroundQuery="1" createdVersion="3" refreshedVersion="8" minRefreshableVersion="3" recordCount="0" supportSubquery="1" supportAdvancedDrill="1" xr:uid="{A29EE840-C9BE-453A-9B8D-886A03E4822A}">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PQ_cleaned_data].[Order ID]" caption="Order ID" attribute="1" defaultMemberUniqueName="[PQ_cleaned_data].[Order ID].[All]" allUniqueName="[PQ_cleaned_data].[Order ID].[All]" dimensionUniqueName="[PQ_cleaned_data]" displayFolder="" count="0" memberValueDatatype="130" unbalanced="0"/>
    <cacheHierarchy uniqueName="[PQ_cleaned_data].[Order Date]" caption="Order Date" attribute="1" time="1" defaultMemberUniqueName="[PQ_cleaned_data].[Order Date].[All]" allUniqueName="[PQ_cleaned_data].[Order Date].[All]" dimensionUniqueName="[PQ_cleaned_data]" displayFolder="" count="2" memberValueDatatype="7" unbalanced="0"/>
    <cacheHierarchy uniqueName="[PQ_cleaned_data].[Product ID]" caption="Product ID" attribute="1" defaultMemberUniqueName="[PQ_cleaned_data].[Product ID].[All]" allUniqueName="[PQ_cleaned_data].[Product ID].[All]" dimensionUniqueName="[PQ_cleaned_data]" displayFolder="" count="0" memberValueDatatype="130" unbalanced="0"/>
    <cacheHierarchy uniqueName="[PQ_cleaned_data].[Product Name]" caption="Product Name" attribute="1" defaultMemberUniqueName="[PQ_cleaned_data].[Product Name].[All]" allUniqueName="[PQ_cleaned_data].[Product Name].[All]" dimensionUniqueName="[PQ_cleaned_data]" displayFolder="" count="0" memberValueDatatype="130" unbalanced="0"/>
    <cacheHierarchy uniqueName="[PQ_cleaned_data].[Category]" caption="Category" attribute="1" defaultMemberUniqueName="[PQ_cleaned_data].[Category].[All]" allUniqueName="[PQ_cleaned_data].[Category].[All]" dimensionUniqueName="[PQ_cleaned_data]" displayFolder="" count="0" memberValueDatatype="130" unbalanced="0"/>
    <cacheHierarchy uniqueName="[PQ_cleaned_data].[Region]" caption="Region" attribute="1" defaultMemberUniqueName="[PQ_cleaned_data].[Region].[All]" allUniqueName="[PQ_cleaned_data].[Region].[All]" dimensionUniqueName="[PQ_cleaned_data]" displayFolder="" count="0" memberValueDatatype="130" unbalanced="0"/>
    <cacheHierarchy uniqueName="[PQ_cleaned_data].[Customer Name]" caption="Customer Name" attribute="1" defaultMemberUniqueName="[PQ_cleaned_data].[Customer Name].[All]" allUniqueName="[PQ_cleaned_data].[Customer Name].[All]" dimensionUniqueName="[PQ_cleaned_data]" displayFolder="" count="0" memberValueDatatype="130" unbalanced="0"/>
    <cacheHierarchy uniqueName="[PQ_cleaned_data].[Quantity Sold]" caption="Quantity Sold" attribute="1" defaultMemberUniqueName="[PQ_cleaned_data].[Quantity Sold].[All]" allUniqueName="[PQ_cleaned_data].[Quantity Sold].[All]" dimensionUniqueName="[PQ_cleaned_data]" displayFolder="" count="0" memberValueDatatype="20" unbalanced="0"/>
    <cacheHierarchy uniqueName="[PQ_cleaned_data].[Unit Price]" caption="Unit Price" attribute="1" defaultMemberUniqueName="[PQ_cleaned_data].[Unit Price].[All]" allUniqueName="[PQ_cleaned_data].[Unit Price].[All]" dimensionUniqueName="[PQ_cleaned_data]" displayFolder="" count="0" memberValueDatatype="5" unbalanced="0"/>
    <cacheHierarchy uniqueName="[PQ_cleaned_data].[Total Sales]" caption="Total Sales" attribute="1" defaultMemberUniqueName="[PQ_cleaned_data].[Total Sales].[All]" allUniqueName="[PQ_cleaned_data].[Total Sales].[All]" dimensionUniqueName="[PQ_cleaned_data]" displayFolder="" count="0" memberValueDatatype="5" unbalanced="0"/>
    <cacheHierarchy uniqueName="[PQ_cleaned_data].[Cost per Unit]" caption="Cost per Unit" attribute="1" defaultMemberUniqueName="[PQ_cleaned_data].[Cost per Unit].[All]" allUniqueName="[PQ_cleaned_data].[Cost per Unit].[All]" dimensionUniqueName="[PQ_cleaned_data]" displayFolder="" count="0" memberValueDatatype="5" unbalanced="0"/>
    <cacheHierarchy uniqueName="[PQ_cleaned_data].[Total Cost]" caption="Total Cost" attribute="1" defaultMemberUniqueName="[PQ_cleaned_data].[Total Cost].[All]" allUniqueName="[PQ_cleaned_data].[Total Cost].[All]" dimensionUniqueName="[PQ_cleaned_data]" displayFolder="" count="0" memberValueDatatype="5" unbalanced="0"/>
    <cacheHierarchy uniqueName="[PQ_cleaned_data].[Profit]" caption="Profit" attribute="1" defaultMemberUniqueName="[PQ_cleaned_data].[Profit].[All]" allUniqueName="[PQ_cleaned_data].[Profit].[All]" dimensionUniqueName="[PQ_cleaned_data]" displayFolder="" count="0" memberValueDatatype="5" unbalanced="0"/>
    <cacheHierarchy uniqueName="[PQ_cleaned_data].[Inventory Remaining]" caption="Inventory Remaining" attribute="1" defaultMemberUniqueName="[PQ_cleaned_data].[Inventory Remaining].[All]" allUniqueName="[PQ_cleaned_data].[Inventory Remaining].[All]" dimensionUniqueName="[PQ_cleaned_data]" displayFolder="" count="0" memberValueDatatype="20" unbalanced="0"/>
    <cacheHierarchy uniqueName="[PQ_cleaned_data].[Reorder Level]" caption="Reorder Level" attribute="1" defaultMemberUniqueName="[PQ_cleaned_data].[Reorder Level].[All]" allUniqueName="[PQ_cleaned_data].[Reorder Level].[All]" dimensionUniqueName="[PQ_cleaned_data]" displayFolder="" count="0" memberValueDatatype="20" unbalanced="0"/>
    <cacheHierarchy uniqueName="[PQ_cleaned_data].[Year]" caption="Year" attribute="1" defaultMemberUniqueName="[PQ_cleaned_data].[Year].[All]" allUniqueName="[PQ_cleaned_data].[Year].[All]" dimensionUniqueName="[PQ_cleaned_data]" displayFolder="" count="0" memberValueDatatype="20" unbalanced="0"/>
    <cacheHierarchy uniqueName="[PQ_cleaned_data].[Month Name]" caption="Month Name" attribute="1" defaultMemberUniqueName="[PQ_cleaned_data].[Month Name].[All]" allUniqueName="[PQ_cleaned_data].[Month Name].[All]" dimensionUniqueName="[PQ_cleaned_data]" displayFolder="" count="0" memberValueDatatype="130" unbalanced="0"/>
    <cacheHierarchy uniqueName="[PQ_cleaned_data].[Quarter]" caption="Quarter" attribute="1" defaultMemberUniqueName="[PQ_cleaned_data].[Quarter].[All]" allUniqueName="[PQ_cleaned_data].[Quarter].[All]" dimensionUniqueName="[PQ_cleaned_data]" displayFolder="" count="0" memberValueDatatype="20" unbalanced="0"/>
    <cacheHierarchy uniqueName="[PQ_cleaned_data].[Month Number]" caption="Month Number" attribute="1" defaultMemberUniqueName="[PQ_cleaned_data].[Month Number].[All]" allUniqueName="[PQ_cleaned_data].[Month Number].[All]" dimensionUniqueName="[PQ_cleaned_data]" displayFolder="" count="0" memberValueDatatype="20" unbalanced="0"/>
    <cacheHierarchy uniqueName="[PQ_cleaned_data].[Order Date (Month)]" caption="Order Date (Month)" attribute="1" defaultMemberUniqueName="[PQ_cleaned_data].[Order Date (Month)].[All]" allUniqueName="[PQ_cleaned_data].[Order Date (Month)].[All]" dimensionUniqueName="[PQ_cleaned_data]" displayFolder="" count="0" memberValueDatatype="130" unbalanced="0"/>
    <cacheHierarchy uniqueName="[PQ_cleaned_data].[Order Date (Month Index)]" caption="Order Date (Month Index)" attribute="1" defaultMemberUniqueName="[PQ_cleaned_data].[Order Date (Month Index)].[All]" allUniqueName="[PQ_cleaned_data].[Order Date (Month Index)].[All]" dimensionUniqueName="[PQ_cleaned_data]" displayFolder="" count="0" memberValueDatatype="20" unbalanced="0" hidden="1"/>
    <cacheHierarchy uniqueName="[Measures].[__XL_Count PQ_cleaned_data]" caption="__XL_Count PQ_cleaned_data" measure="1" displayFolder="" measureGroup="PQ_cleaned_data" count="0" hidden="1"/>
    <cacheHierarchy uniqueName="[Measures].[__No measures defined]" caption="__No measures defined" measure="1" displayFolder="" count="0" hidden="1"/>
    <cacheHierarchy uniqueName="[Measures].[Sum of Total Sales]" caption="Sum of Total Sales" measure="1" displayFolder="" measureGroup="PQ_cleaned_data"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PQ_cleaned_data"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PQ_cleaned_data" count="0" hidden="1">
      <extLst>
        <ext xmlns:x15="http://schemas.microsoft.com/office/spreadsheetml/2010/11/main" uri="{B97F6D7D-B522-45F9-BDA1-12C45D357490}">
          <x15:cacheHierarchy aggregatedColumn="0"/>
        </ext>
      </extLst>
    </cacheHierarchy>
    <cacheHierarchy uniqueName="[Measures].[Sum of Month Number]" caption="Sum of Month Number" measure="1" displayFolder="" measureGroup="PQ_cleaned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3004404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832F1C-1E90-4EF5-9A8F-55DA3E927D9A}" name="PivotTable7" cacheId="319"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8">
  <location ref="D15:G22" firstHeaderRow="1" firstDataRow="2" firstDataCol="1"/>
  <pivotFields count="4">
    <pivotField allDrilled="1" subtotalTop="0" showAll="0" measureFilter="1" defaultSubtotal="0" defaultAttributeDrillState="1">
      <items count="8">
        <item x="0"/>
        <item x="3"/>
        <item x="4"/>
        <item x="7"/>
        <item x="6"/>
        <item x="1"/>
        <item x="2"/>
        <item x="5"/>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1"/>
  </rowFields>
  <rowItems count="6">
    <i>
      <x/>
    </i>
    <i>
      <x v="1"/>
    </i>
    <i>
      <x v="2"/>
    </i>
    <i>
      <x v="3"/>
    </i>
    <i>
      <x v="4"/>
    </i>
    <i>
      <x v="5"/>
    </i>
  </rowItems>
  <colFields count="1">
    <field x="3"/>
  </colFields>
  <colItems count="3">
    <i>
      <x/>
    </i>
    <i>
      <x v="1"/>
    </i>
    <i>
      <x v="2"/>
    </i>
  </colItems>
  <dataFields count="1">
    <dataField name="Sum of Total Sales" fld="2" baseField="0" baseItem="0"/>
  </dataFields>
  <formats count="1">
    <format dxfId="117">
      <pivotArea outline="0" collapsedLevelsAreSubtotals="1" fieldPosition="0"/>
    </format>
  </formats>
  <chartFormats count="3">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797CE-8584-4D7E-B4A2-5A57C60FACBA}" name="PivotTable6" cacheId="31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4">
  <location ref="D1:E12"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1">
    <field x="1"/>
  </rowFields>
  <rowItems count="11">
    <i>
      <x/>
    </i>
    <i>
      <x v="1"/>
    </i>
    <i>
      <x v="2"/>
    </i>
    <i>
      <x v="3"/>
    </i>
    <i>
      <x v="4"/>
    </i>
    <i>
      <x v="5"/>
    </i>
    <i>
      <x v="6"/>
    </i>
    <i>
      <x v="7"/>
    </i>
    <i>
      <x v="8"/>
    </i>
    <i>
      <x v="9"/>
    </i>
    <i>
      <x v="10"/>
    </i>
  </rowItems>
  <colItems count="1">
    <i/>
  </colItems>
  <dataFields count="1">
    <dataField name="Sum of Total Sales" fld="2" baseField="0" baseItem="0" numFmtId="167"/>
  </dataFields>
  <formats count="1">
    <format dxfId="118">
      <pivotArea outline="0" collapsedLevelsAreSubtotals="1" fieldPosition="0"/>
    </format>
  </formats>
  <chartFormats count="1">
    <chartFormat chart="2" format="8"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FC5832-1DE7-4551-BAB7-1AFD8D476A3E}" name="PivotTable3" cacheId="30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12:A13" firstHeaderRow="1" firstDataRow="1" firstDataCol="0"/>
  <pivotFields count="2">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Quantity Sold" fld="1" baseField="0" baseItem="0" numFmtId="1"/>
  </dataFields>
  <formats count="3">
    <format dxfId="121">
      <pivotArea type="all" dataOnly="0" outline="0" fieldPosition="0"/>
    </format>
    <format dxfId="120">
      <pivotArea dataOnly="0" labelOnly="1" outline="0" axis="axisValues" fieldPosition="0"/>
    </format>
    <format dxfId="119">
      <pivotArea outline="0" collapsedLevelsAreSubtotals="1" fieldPosition="0"/>
    </format>
  </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E907F-CAC3-47B6-838A-ED5A2BDF3246}" name="PivotTable2" cacheId="30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9:A10" firstHeaderRow="1" firstDataRow="1" firstDataCol="0"/>
  <pivotFields count="2">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Total Sales" fld="1" baseField="0" baseItem="0" numFmtId="167"/>
  </dataFields>
  <formats count="1">
    <format dxfId="122">
      <pivotArea outline="0" collapsedLevelsAreSubtotals="1" fieldPosition="0"/>
    </format>
  </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FA3881-7EAA-4A16-ACBF-C2FE82B6DE1F}" name="PivotTable1" cacheId="30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32">
  <location ref="A1:B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x v="4"/>
    </i>
  </rowItems>
  <colItems count="1">
    <i/>
  </colItems>
  <dataFields count="1">
    <dataField name="Total Sales" fld="1" baseField="0" baseItem="1" numFmtId="167"/>
  </dataFields>
  <formats count="1">
    <format dxfId="123">
      <pivotArea outline="0" collapsedLevelsAreSubtotals="1" fieldPosition="0"/>
    </format>
  </formats>
  <chartFormats count="1">
    <chartFormat chart="31" format="9"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7FC73E-8E00-4856-91F2-D11DC9CE17A0}" name="PivotTable5" cacheId="3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18:B22"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4">
    <i>
      <x/>
    </i>
    <i>
      <x v="1"/>
    </i>
    <i>
      <x v="2"/>
    </i>
    <i>
      <x v="3"/>
    </i>
  </rowItems>
  <colItems count="1">
    <i/>
  </colItems>
  <dataFields count="1">
    <dataField name="Sum of Total Sales" fld="2" baseField="0" baseItem="0"/>
  </dataFields>
  <formats count="3">
    <format dxfId="126">
      <pivotArea type="all" dataOnly="0" outline="0" fieldPosition="0"/>
    </format>
    <format dxfId="125">
      <pivotArea outline="0" collapsedLevelsAreSubtotals="1" fieldPosition="0"/>
    </format>
    <format dxfId="124">
      <pivotArea dataOnly="0" labelOnly="1" outline="0" axis="axisValues" fieldPosition="0"/>
    </format>
  </format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9" format="14">
      <pivotArea type="data" outline="0" fieldPosition="0">
        <references count="2">
          <reference field="4294967294" count="1" selected="0">
            <x v="0"/>
          </reference>
          <reference field="1" count="1" selected="0">
            <x v="3"/>
          </reference>
        </references>
      </pivotArea>
    </chartFormat>
  </chart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1EC348-6EA2-4EEE-9EE6-F89AA2E2E43A}" name="PivotTable4" cacheId="31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15:A16" firstHeaderRow="1" firstDataRow="1" firstDataCol="0"/>
  <pivotFields count="2">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Distinct Count of Order ID" fld="1" subtotal="count" baseField="0" baseItem="0" numFmtId="1">
      <extLst>
        <ext xmlns:x15="http://schemas.microsoft.com/office/spreadsheetml/2010/11/main" uri="{FABC7310-3BB5-11E1-824E-6D434824019B}">
          <x15:dataField isCountDistinct="1"/>
        </ext>
      </extLst>
    </dataField>
  </dataFields>
  <formats count="3">
    <format dxfId="129">
      <pivotArea type="all" dataOnly="0" outline="0" fieldPosition="0"/>
    </format>
    <format dxfId="128">
      <pivotArea dataOnly="0" labelOnly="1" outline="0" axis="axisValues" fieldPosition="0"/>
    </format>
    <format dxfId="127">
      <pivotArea outline="0" collapsedLevelsAreSubtotals="1" fieldPosition="0"/>
    </format>
  </formats>
  <pivotHierarchies count="28">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Sales_Inventory_Nigeria_Regions.xlsx!PQ_cleaned_data">
        <x15:activeTabTopLevelEntity name="[PQ_clean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300-000000000000}" autoFormatId="16" applyNumberFormats="0" applyBorderFormats="0" applyFontFormats="1" applyPatternFormats="1" applyAlignmentFormats="0" applyWidthHeightFormats="0">
  <queryTableRefresh nextId="20" unboundColumnsRight="1">
    <queryTableFields count="19">
      <queryTableField id="1" name="Order ID" tableColumnId="1"/>
      <queryTableField id="2" name="Order Date" tableColumnId="2"/>
      <queryTableField id="3" name="Product ID" tableColumnId="3"/>
      <queryTableField id="4" name="Product Name" tableColumnId="4"/>
      <queryTableField id="5" name="Category" tableColumnId="5"/>
      <queryTableField id="6" name="Region" tableColumnId="6"/>
      <queryTableField id="7" name="Customer Name" tableColumnId="7"/>
      <queryTableField id="8" name="Quantity Sold" tableColumnId="8"/>
      <queryTableField id="9" name="Unit Price" tableColumnId="9"/>
      <queryTableField id="10" name="Total Sales" tableColumnId="10"/>
      <queryTableField id="11" name="Cost per Unit" tableColumnId="11"/>
      <queryTableField id="12" name="Total Cost" tableColumnId="12"/>
      <queryTableField id="13" name="Profit" tableColumnId="13"/>
      <queryTableField id="14" name="Inventory Remaining" tableColumnId="14"/>
      <queryTableField id="15" name="Reorder Level" tableColumnId="15"/>
      <queryTableField id="16" name="Year" tableColumnId="16"/>
      <queryTableField id="17" name="Month Name" tableColumnId="17"/>
      <queryTableField id="18" name="Quarter"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E0DE18-E5A6-414B-98E6-3C628C620EBC}" sourceName="[PQ_cleaned_data].[Region]">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1112862145">
      <levels count="2">
        <level uniqueName="[PQ_cleaned_data].[Region].[(All)]" sourceCaption="(All)" count="0"/>
        <level uniqueName="[PQ_cleaned_data].[Region].[Region]" sourceCaption="Region" count="6">
          <ranges>
            <range startItem="0">
              <i n="[PQ_cleaned_data].[Region].&amp;[North Central]" c="North Central"/>
              <i n="[PQ_cleaned_data].[Region].&amp;[North East]" c="North East"/>
              <i n="[PQ_cleaned_data].[Region].&amp;[North West]" c="North West"/>
              <i n="[PQ_cleaned_data].[Region].&amp;[South East]" c="South East"/>
              <i n="[PQ_cleaned_data].[Region].&amp;[South South]" c="South South"/>
              <i n="[PQ_cleaned_data].[Region].&amp;[South West]" c="South West"/>
            </range>
          </ranges>
        </level>
      </levels>
      <selections count="1">
        <selection n="[PQ_cleaned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B35CF7-02FD-4B14-87B9-8160804C1EFC}" sourceName="[PQ_cleaned_data].[Category]">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1112862145">
      <levels count="2">
        <level uniqueName="[PQ_cleaned_data].[Category].[(All)]" sourceCaption="(All)" count="0"/>
        <level uniqueName="[PQ_cleaned_data].[Category].[Category]" sourceCaption="Category" count="4">
          <ranges>
            <range startItem="0">
              <i n="[PQ_cleaned_data].[Category].&amp;[Accessories]" c="Accessories"/>
              <i n="[PQ_cleaned_data].[Category].&amp;[Electronics]" c="Electronics"/>
              <i n="[PQ_cleaned_data].[Category].&amp;[Home Office]" c="Home Office"/>
              <i n="[PQ_cleaned_data].[Category].&amp;[Stationery]" c="Stationery"/>
            </range>
          </ranges>
        </level>
      </levels>
      <selections count="1">
        <selection n="[PQ_cleaned_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007652F-1988-4DD5-B427-0DFE38A5813D}" sourceName="[PQ_cleaned_data].[Product Name]">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1112862145">
      <levels count="2">
        <level uniqueName="[PQ_cleaned_data].[Product Name].[(All)]" sourceCaption="(All)" count="0"/>
        <level uniqueName="[PQ_cleaned_data].[Product Name].[Product Name]" sourceCaption="Product Name" count="8">
          <ranges>
            <range startItem="0">
              <i n="[PQ_cleaned_data].[Product Name].&amp;[Backpack]" c="Backpack"/>
              <i n="[PQ_cleaned_data].[Product Name].&amp;[Bluetooth Speaker]" c="Bluetooth Speaker"/>
              <i n="[PQ_cleaned_data].[Product Name].&amp;[Desk Lamp]" c="Desk Lamp"/>
              <i n="[PQ_cleaned_data].[Product Name].&amp;[Keyboard]" c="Keyboard"/>
              <i n="[PQ_cleaned_data].[Product Name].&amp;[Laptop Sleeve]" c="Laptop Sleeve"/>
              <i n="[PQ_cleaned_data].[Product Name].&amp;[Notebook]" c="Notebook"/>
              <i n="[PQ_cleaned_data].[Product Name].&amp;[Water Bottle]" c="Water Bottle"/>
              <i n="[PQ_cleaned_data].[Product Name].&amp;[Wireless Mouse]" c="Wireless Mouse"/>
            </range>
          </ranges>
        </level>
      </levels>
      <selections count="1">
        <selection n="[PQ_cleaned_data].[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2BCF14-D378-4336-AA80-97C927E99A10}" cache="Slicer_Region" caption="Region" level="1" rowHeight="241300"/>
  <slicer name="Category" xr10:uid="{BA7A1BDC-D6A4-42D8-9675-0417A13D4E0B}" cache="Slicer_Category" caption="Category" level="1" rowHeight="241300"/>
  <slicer name="Product Name" xr10:uid="{358B0EF5-8DC0-4951-BB86-6F063FC99B8B}" cache="Slicer_Product_Name" caption="Product Name"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51" totalsRowShown="0">
  <autoFilter ref="A1:O251" xr:uid="{00000000-0009-0000-0100-000001000000}"/>
  <tableColumns count="15">
    <tableColumn id="1" xr3:uid="{00000000-0010-0000-0000-000001000000}" name="Order ID" dataDxfId="163"/>
    <tableColumn id="2" xr3:uid="{00000000-0010-0000-0000-000002000000}" name="Order Date" dataDxfId="162"/>
    <tableColumn id="3" xr3:uid="{00000000-0010-0000-0000-000003000000}" name="Product ID" dataDxfId="161"/>
    <tableColumn id="4" xr3:uid="{00000000-0010-0000-0000-000004000000}" name="Product Name" dataDxfId="160"/>
    <tableColumn id="5" xr3:uid="{00000000-0010-0000-0000-000005000000}" name="Category" dataDxfId="159"/>
    <tableColumn id="6" xr3:uid="{00000000-0010-0000-0000-000006000000}" name="Region" dataDxfId="158"/>
    <tableColumn id="7" xr3:uid="{00000000-0010-0000-0000-000007000000}" name="Customer Name" dataDxfId="157"/>
    <tableColumn id="8" xr3:uid="{00000000-0010-0000-0000-000008000000}" name="Quantity Sold" dataDxfId="156"/>
    <tableColumn id="9" xr3:uid="{00000000-0010-0000-0000-000009000000}" name="Unit Price" dataDxfId="155"/>
    <tableColumn id="10" xr3:uid="{00000000-0010-0000-0000-00000A000000}" name="Total Sales" dataDxfId="154"/>
    <tableColumn id="11" xr3:uid="{00000000-0010-0000-0000-00000B000000}" name="Cost per Unit" dataDxfId="153"/>
    <tableColumn id="12" xr3:uid="{00000000-0010-0000-0000-00000C000000}" name="Total Cost" dataDxfId="152"/>
    <tableColumn id="13" xr3:uid="{00000000-0010-0000-0000-00000D000000}" name="Profit" dataDxfId="151"/>
    <tableColumn id="14" xr3:uid="{00000000-0010-0000-0000-00000E000000}" name="Inventory Remaining" dataDxfId="150"/>
    <tableColumn id="15" xr3:uid="{00000000-0010-0000-0000-00000F000000}" name="Reorder Level" dataDxfId="14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Q_cleaned_data" displayName="PQ_cleaned_data" ref="A1:S251" tableType="queryTable" totalsRowShown="0">
  <autoFilter ref="A1:S251" xr:uid="{00000000-0009-0000-0100-000002000000}"/>
  <tableColumns count="19">
    <tableColumn id="1" xr3:uid="{00000000-0010-0000-0100-000001000000}" uniqueName="1" name="Order ID" queryTableFieldId="1" dataDxfId="148"/>
    <tableColumn id="2" xr3:uid="{00000000-0010-0000-0100-000002000000}" uniqueName="2" name="Order Date" queryTableFieldId="2" dataDxfId="147"/>
    <tableColumn id="3" xr3:uid="{00000000-0010-0000-0100-000003000000}" uniqueName="3" name="Product ID" queryTableFieldId="3" dataDxfId="146"/>
    <tableColumn id="4" xr3:uid="{00000000-0010-0000-0100-000004000000}" uniqueName="4" name="Product Name" queryTableFieldId="4" dataDxfId="145"/>
    <tableColumn id="5" xr3:uid="{00000000-0010-0000-0100-000005000000}" uniqueName="5" name="Category" queryTableFieldId="5" dataDxfId="144"/>
    <tableColumn id="6" xr3:uid="{00000000-0010-0000-0100-000006000000}" uniqueName="6" name="Region" queryTableFieldId="6" dataDxfId="143"/>
    <tableColumn id="7" xr3:uid="{00000000-0010-0000-0100-000007000000}" uniqueName="7" name="Customer Name" queryTableFieldId="7" dataDxfId="142"/>
    <tableColumn id="8" xr3:uid="{00000000-0010-0000-0100-000008000000}" uniqueName="8" name="Quantity Sold" queryTableFieldId="8" dataDxfId="141"/>
    <tableColumn id="9" xr3:uid="{00000000-0010-0000-0100-000009000000}" uniqueName="9" name="Unit Price" queryTableFieldId="9" dataDxfId="140"/>
    <tableColumn id="10" xr3:uid="{00000000-0010-0000-0100-00000A000000}" uniqueName="10" name="Total Sales" queryTableFieldId="10" dataDxfId="139"/>
    <tableColumn id="11" xr3:uid="{00000000-0010-0000-0100-00000B000000}" uniqueName="11" name="Cost per Unit" queryTableFieldId="11" dataDxfId="138"/>
    <tableColumn id="12" xr3:uid="{00000000-0010-0000-0100-00000C000000}" uniqueName="12" name="Total Cost" queryTableFieldId="12" dataDxfId="137"/>
    <tableColumn id="13" xr3:uid="{00000000-0010-0000-0100-00000D000000}" uniqueName="13" name="Profit" queryTableFieldId="13" dataDxfId="136"/>
    <tableColumn id="14" xr3:uid="{00000000-0010-0000-0100-00000E000000}" uniqueName="14" name="Inventory Remaining" queryTableFieldId="14" dataDxfId="135"/>
    <tableColumn id="15" xr3:uid="{00000000-0010-0000-0100-00000F000000}" uniqueName="15" name="Reorder Level" queryTableFieldId="15" dataDxfId="134"/>
    <tableColumn id="16" xr3:uid="{00000000-0010-0000-0100-000010000000}" uniqueName="16" name="Year" queryTableFieldId="16" dataDxfId="133"/>
    <tableColumn id="17" xr3:uid="{00000000-0010-0000-0100-000011000000}" uniqueName="17" name="Month Name" queryTableFieldId="17" dataDxfId="132"/>
    <tableColumn id="18" xr3:uid="{00000000-0010-0000-0100-000012000000}" uniqueName="18" name="Quarter" queryTableFieldId="18" dataDxfId="131"/>
    <tableColumn id="19" xr3:uid="{918339E3-B751-4552-A59D-2E538FF49D47}" uniqueName="19" name="Month Number" queryTableFieldId="19" dataDxfId="130">
      <calculatedColumnFormula>MONTH(PQ_cleaned_data[[#This Row],[Order 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85E3B1-D722-4989-991F-11645DD1960C}" sourceName="[PQ_cleaned_data].[Order Date]">
  <pivotTables>
    <pivotTable tabId="3" name="PivotTable1"/>
    <pivotTable tabId="3" name="PivotTable2"/>
    <pivotTable tabId="3" name="PivotTable3"/>
    <pivotTable tabId="3" name="PivotTable4"/>
    <pivotTable tabId="3" name="PivotTable5"/>
    <pivotTable tabId="3" name="PivotTable6"/>
    <pivotTable tabId="3" name="PivotTable7"/>
  </pivotTables>
  <state minimalRefreshVersion="6" lastRefreshVersion="6" pivotCacheId="130044042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285FEDD-C4B2-45E5-BA40-43283AF60459}" cache="Timeline_Order_Date" caption="Order Date" level="2" selectionLevel="2" scrollPosition="2024-09-22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showGridLines="0" topLeftCell="A36" workbookViewId="0">
      <selection activeCell="M42" sqref="M42"/>
    </sheetView>
  </sheetViews>
  <sheetFormatPr defaultColWidth="9" defaultRowHeight="15"/>
  <cols>
    <col min="1" max="1" width="6.7109375" customWidth="1"/>
    <col min="3" max="3" width="29.140625" customWidth="1"/>
  </cols>
  <sheetData>
    <row r="1" spans="1:11">
      <c r="A1" s="25" t="s">
        <v>0</v>
      </c>
      <c r="B1" s="26"/>
      <c r="C1" s="26"/>
    </row>
    <row r="2" spans="1:11">
      <c r="A2" s="26"/>
      <c r="B2" s="26"/>
      <c r="C2" s="26"/>
    </row>
    <row r="3" spans="1:11" ht="15.75">
      <c r="A3" s="30" t="s">
        <v>1</v>
      </c>
      <c r="B3" s="30"/>
      <c r="C3" s="30"/>
      <c r="D3" s="30"/>
      <c r="E3" s="30"/>
      <c r="F3" s="30"/>
      <c r="G3" s="30"/>
    </row>
    <row r="5" spans="1:11">
      <c r="A5" s="25" t="s">
        <v>2</v>
      </c>
      <c r="B5" s="26"/>
      <c r="C5" s="26"/>
    </row>
    <row r="6" spans="1:11">
      <c r="A6" s="26"/>
      <c r="B6" s="26"/>
      <c r="C6" s="26"/>
    </row>
    <row r="7" spans="1:11">
      <c r="A7" s="23" t="s">
        <v>3</v>
      </c>
      <c r="B7" s="23"/>
      <c r="C7" s="23"/>
      <c r="D7" s="23"/>
      <c r="E7" s="23"/>
      <c r="F7" s="23"/>
      <c r="G7" s="23"/>
      <c r="H7" s="23"/>
      <c r="I7" s="23"/>
      <c r="J7" s="15"/>
      <c r="K7" s="15"/>
    </row>
    <row r="8" spans="1:11">
      <c r="A8" s="23" t="s">
        <v>4</v>
      </c>
      <c r="B8" s="24"/>
      <c r="C8" s="24"/>
      <c r="D8" s="24"/>
      <c r="E8" s="24"/>
      <c r="F8" s="24"/>
      <c r="G8" s="24"/>
      <c r="H8" s="24"/>
      <c r="I8" s="24"/>
      <c r="J8" s="24"/>
    </row>
    <row r="9" spans="1:11">
      <c r="A9" s="23" t="s">
        <v>5</v>
      </c>
      <c r="B9" s="24"/>
      <c r="C9" s="24"/>
      <c r="D9" s="24"/>
      <c r="E9" s="24"/>
      <c r="F9" s="24"/>
      <c r="G9" s="24"/>
      <c r="H9" s="24"/>
      <c r="I9" s="1"/>
    </row>
    <row r="10" spans="1:11">
      <c r="A10" s="1"/>
      <c r="B10" s="1"/>
      <c r="C10" s="1"/>
      <c r="D10" s="1"/>
      <c r="E10" s="1"/>
      <c r="F10" s="1"/>
      <c r="G10" s="1"/>
      <c r="H10" s="1"/>
      <c r="I10" s="1"/>
    </row>
    <row r="11" spans="1:11">
      <c r="A11" s="25" t="s">
        <v>6</v>
      </c>
      <c r="B11" s="26"/>
      <c r="C11" s="26"/>
      <c r="D11" s="15" t="s">
        <v>7</v>
      </c>
      <c r="E11" s="1"/>
      <c r="F11" s="1"/>
      <c r="G11" s="1"/>
      <c r="H11" s="1"/>
      <c r="I11" s="1"/>
      <c r="J11" s="1"/>
      <c r="K11" s="1"/>
    </row>
    <row r="12" spans="1:11">
      <c r="A12" s="26"/>
      <c r="B12" s="26"/>
      <c r="C12" s="26"/>
    </row>
    <row r="13" spans="1:11">
      <c r="A13" s="23" t="s">
        <v>8</v>
      </c>
      <c r="B13" s="23"/>
      <c r="C13" s="23"/>
      <c r="D13" s="23"/>
      <c r="E13" s="1"/>
      <c r="F13" s="1"/>
      <c r="G13" s="1"/>
    </row>
    <row r="14" spans="1:11">
      <c r="A14" s="23" t="s">
        <v>9</v>
      </c>
      <c r="B14" s="23"/>
      <c r="C14" s="23"/>
      <c r="D14" s="23"/>
      <c r="E14" s="1"/>
      <c r="F14" s="1"/>
    </row>
    <row r="15" spans="1:11">
      <c r="A15" s="23" t="s">
        <v>10</v>
      </c>
      <c r="B15" s="24"/>
      <c r="C15" s="24"/>
      <c r="D15" s="24"/>
      <c r="E15" s="24"/>
      <c r="F15" s="24"/>
    </row>
    <row r="16" spans="1:11">
      <c r="A16" s="23" t="s">
        <v>11</v>
      </c>
      <c r="B16" s="24"/>
      <c r="C16" s="24"/>
      <c r="D16" s="24"/>
    </row>
    <row r="17" spans="1:6">
      <c r="A17" s="23" t="s">
        <v>12</v>
      </c>
      <c r="B17" s="24"/>
      <c r="C17" s="24"/>
      <c r="D17" s="24"/>
    </row>
    <row r="18" spans="1:6">
      <c r="A18" s="23" t="s">
        <v>13</v>
      </c>
      <c r="B18" s="24"/>
      <c r="C18" s="24"/>
      <c r="D18" s="24"/>
    </row>
    <row r="19" spans="1:6">
      <c r="A19" s="23" t="s">
        <v>14</v>
      </c>
      <c r="B19" s="24"/>
      <c r="C19" s="24"/>
      <c r="D19" s="24"/>
      <c r="E19" s="24"/>
    </row>
    <row r="20" spans="1:6">
      <c r="A20" s="23" t="s">
        <v>15</v>
      </c>
      <c r="B20" s="24"/>
      <c r="C20" s="24"/>
      <c r="D20" s="24"/>
      <c r="E20" s="24"/>
      <c r="F20" s="24"/>
    </row>
    <row r="21" spans="1:6">
      <c r="A21" s="23" t="s">
        <v>16</v>
      </c>
      <c r="B21" s="24"/>
      <c r="C21" s="24"/>
      <c r="D21" s="24"/>
    </row>
    <row r="22" spans="1:6">
      <c r="A22" s="23" t="s">
        <v>17</v>
      </c>
      <c r="B22" s="24"/>
      <c r="C22" s="24"/>
      <c r="D22" s="24"/>
    </row>
    <row r="23" spans="1:6">
      <c r="A23" s="23" t="s">
        <v>18</v>
      </c>
      <c r="B23" s="24"/>
      <c r="C23" s="24"/>
      <c r="D23" s="24"/>
      <c r="E23" s="24"/>
    </row>
    <row r="24" spans="1:6">
      <c r="A24" s="23" t="s">
        <v>19</v>
      </c>
      <c r="B24" s="24"/>
      <c r="C24" s="24"/>
      <c r="D24" s="24"/>
    </row>
    <row r="25" spans="1:6">
      <c r="A25" s="23" t="s">
        <v>20</v>
      </c>
      <c r="B25" s="24"/>
      <c r="C25" s="24"/>
      <c r="D25" s="24"/>
    </row>
    <row r="27" spans="1:6">
      <c r="A27" s="25" t="s">
        <v>21</v>
      </c>
      <c r="B27" s="26"/>
      <c r="C27" s="26"/>
    </row>
    <row r="28" spans="1:6">
      <c r="A28" s="26"/>
      <c r="B28" s="26"/>
      <c r="C28" s="26"/>
    </row>
    <row r="29" spans="1:6">
      <c r="B29" s="23" t="s">
        <v>22</v>
      </c>
      <c r="C29" s="23"/>
    </row>
    <row r="30" spans="1:6">
      <c r="B30" s="23" t="s">
        <v>23</v>
      </c>
      <c r="C30" s="24"/>
    </row>
    <row r="31" spans="1:6">
      <c r="B31" s="23" t="s">
        <v>24</v>
      </c>
      <c r="C31" s="24"/>
    </row>
    <row r="33" spans="1:9">
      <c r="A33" s="27" t="s">
        <v>25</v>
      </c>
      <c r="B33" s="28"/>
      <c r="C33" s="28"/>
    </row>
    <row r="34" spans="1:9">
      <c r="A34" s="28"/>
      <c r="B34" s="28"/>
      <c r="C34" s="28"/>
    </row>
    <row r="35" spans="1:9">
      <c r="A35" s="23" t="s">
        <v>26</v>
      </c>
      <c r="B35" s="24"/>
      <c r="C35" s="24"/>
      <c r="D35" s="24"/>
      <c r="E35" s="24"/>
      <c r="F35" s="24"/>
      <c r="G35" s="24"/>
      <c r="H35" s="24"/>
      <c r="I35" s="24"/>
    </row>
    <row r="36" spans="1:9">
      <c r="A36" s="23" t="s">
        <v>27</v>
      </c>
      <c r="B36" s="24"/>
      <c r="C36" s="24"/>
      <c r="D36" s="24"/>
      <c r="E36" s="24"/>
      <c r="F36" s="24"/>
      <c r="G36" s="24"/>
      <c r="H36" s="24"/>
      <c r="I36" s="24"/>
    </row>
    <row r="37" spans="1:9">
      <c r="A37" s="23" t="s">
        <v>28</v>
      </c>
      <c r="B37" s="24"/>
      <c r="C37" s="24"/>
      <c r="D37" s="24"/>
      <c r="E37" s="24"/>
      <c r="F37" s="24"/>
      <c r="G37" s="24"/>
      <c r="H37" s="24"/>
      <c r="I37" s="24"/>
    </row>
    <row r="38" spans="1:9">
      <c r="A38" s="23" t="s">
        <v>29</v>
      </c>
      <c r="B38" s="24"/>
      <c r="C38" s="24"/>
      <c r="D38" s="24"/>
      <c r="E38" s="24"/>
      <c r="F38" s="24"/>
      <c r="G38" s="24"/>
      <c r="H38" s="24"/>
      <c r="I38" s="24"/>
    </row>
    <row r="40" spans="1:9">
      <c r="A40" s="27" t="s">
        <v>30</v>
      </c>
      <c r="B40" s="28"/>
      <c r="C40" s="28"/>
    </row>
    <row r="41" spans="1:9">
      <c r="A41" s="28"/>
      <c r="B41" s="28"/>
      <c r="C41" s="28"/>
    </row>
    <row r="42" spans="1:9">
      <c r="A42" s="23" t="s">
        <v>31</v>
      </c>
      <c r="B42" s="24"/>
      <c r="C42" s="24"/>
      <c r="D42" s="24"/>
      <c r="E42" s="24"/>
      <c r="F42" s="24"/>
    </row>
    <row r="43" spans="1:9">
      <c r="A43" s="23" t="s">
        <v>32</v>
      </c>
      <c r="B43" s="24"/>
      <c r="C43" s="24"/>
      <c r="D43" s="24"/>
      <c r="E43" s="24"/>
      <c r="F43" s="24"/>
      <c r="G43" s="24"/>
    </row>
    <row r="44" spans="1:9">
      <c r="A44" s="23" t="s">
        <v>33</v>
      </c>
      <c r="B44" s="24"/>
      <c r="C44" s="24"/>
      <c r="D44" s="24"/>
      <c r="E44" s="24"/>
      <c r="F44" s="24"/>
      <c r="G44" s="24"/>
    </row>
    <row r="45" spans="1:9">
      <c r="A45" s="23" t="s">
        <v>34</v>
      </c>
      <c r="B45" s="24"/>
      <c r="C45" s="24"/>
      <c r="D45" s="24"/>
      <c r="E45" s="24"/>
      <c r="F45" s="24"/>
      <c r="G45" s="24"/>
    </row>
    <row r="46" spans="1:9">
      <c r="A46" s="23" t="s">
        <v>35</v>
      </c>
      <c r="B46" s="24"/>
      <c r="C46" s="24"/>
      <c r="D46" s="24"/>
      <c r="E46" s="24"/>
      <c r="F46" s="24"/>
      <c r="G46" s="24"/>
    </row>
    <row r="48" spans="1:9">
      <c r="A48" s="29" t="s">
        <v>36</v>
      </c>
      <c r="B48" s="28"/>
      <c r="C48" s="28"/>
    </row>
    <row r="49" spans="1:7">
      <c r="A49" s="28"/>
      <c r="B49" s="28"/>
      <c r="C49" s="28"/>
    </row>
    <row r="50" spans="1:7">
      <c r="A50" s="23" t="s">
        <v>37</v>
      </c>
      <c r="B50" s="24"/>
      <c r="C50" s="24"/>
      <c r="D50" s="24"/>
      <c r="E50" s="24"/>
      <c r="F50" s="24"/>
    </row>
    <row r="51" spans="1:7">
      <c r="A51" s="23" t="s">
        <v>38</v>
      </c>
      <c r="B51" s="24"/>
      <c r="C51" s="24"/>
      <c r="D51" s="24"/>
      <c r="E51" s="24"/>
      <c r="F51" s="24"/>
      <c r="G51" s="24"/>
    </row>
    <row r="52" spans="1:7">
      <c r="A52" s="23" t="s">
        <v>39</v>
      </c>
      <c r="B52" s="24"/>
      <c r="C52" s="24"/>
      <c r="D52" s="24"/>
      <c r="E52" s="24"/>
      <c r="F52" s="24"/>
    </row>
    <row r="53" spans="1:7">
      <c r="A53" s="23" t="s">
        <v>40</v>
      </c>
      <c r="B53" s="24"/>
      <c r="C53" s="24"/>
      <c r="D53" s="24"/>
      <c r="E53" s="24"/>
      <c r="F53" s="24"/>
    </row>
    <row r="54" spans="1:7">
      <c r="A54" s="23" t="s">
        <v>41</v>
      </c>
      <c r="B54" s="24"/>
      <c r="C54" s="24"/>
      <c r="D54" s="24"/>
      <c r="E54" s="24"/>
      <c r="F54" s="24"/>
    </row>
    <row r="55" spans="1:7">
      <c r="A55" s="23" t="s">
        <v>42</v>
      </c>
      <c r="B55" s="24"/>
      <c r="C55" s="24"/>
      <c r="D55" s="24"/>
      <c r="E55" s="24"/>
      <c r="F55" s="24"/>
    </row>
  </sheetData>
  <mergeCells count="42">
    <mergeCell ref="A3:G3"/>
    <mergeCell ref="A7:I7"/>
    <mergeCell ref="A8:J8"/>
    <mergeCell ref="A9:H9"/>
    <mergeCell ref="A13:D13"/>
    <mergeCell ref="A14:D14"/>
    <mergeCell ref="A15:F15"/>
    <mergeCell ref="A16:D16"/>
    <mergeCell ref="A17:D17"/>
    <mergeCell ref="A18:D18"/>
    <mergeCell ref="A19:E19"/>
    <mergeCell ref="A20:F20"/>
    <mergeCell ref="A21:D21"/>
    <mergeCell ref="A22:D22"/>
    <mergeCell ref="A23:E23"/>
    <mergeCell ref="A24:D24"/>
    <mergeCell ref="A25:D25"/>
    <mergeCell ref="B29:C29"/>
    <mergeCell ref="B30:C30"/>
    <mergeCell ref="B31:C31"/>
    <mergeCell ref="A46:G46"/>
    <mergeCell ref="A50:F50"/>
    <mergeCell ref="A35:I35"/>
    <mergeCell ref="A36:I36"/>
    <mergeCell ref="A37:I37"/>
    <mergeCell ref="A38:I38"/>
    <mergeCell ref="A42:F42"/>
    <mergeCell ref="A55:F55"/>
    <mergeCell ref="A27:C28"/>
    <mergeCell ref="A11:C12"/>
    <mergeCell ref="A1:C2"/>
    <mergeCell ref="A5:C6"/>
    <mergeCell ref="A33:C34"/>
    <mergeCell ref="A40:C41"/>
    <mergeCell ref="A48:C49"/>
    <mergeCell ref="A51:G51"/>
    <mergeCell ref="A52:F52"/>
    <mergeCell ref="A53:F53"/>
    <mergeCell ref="A54:F54"/>
    <mergeCell ref="A43:G43"/>
    <mergeCell ref="A44:G44"/>
    <mergeCell ref="A45:G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1"/>
  <sheetViews>
    <sheetView topLeftCell="C1" workbookViewId="0">
      <selection activeCell="G7" sqref="G7"/>
    </sheetView>
  </sheetViews>
  <sheetFormatPr defaultColWidth="9" defaultRowHeight="15"/>
  <cols>
    <col min="1" max="1" width="12.5703125" customWidth="1"/>
    <col min="2" max="2" width="27.140625" customWidth="1"/>
    <col min="3" max="3" width="12.28515625" customWidth="1"/>
    <col min="4" max="4" width="17.42578125" customWidth="1"/>
    <col min="5" max="5" width="15.42578125" customWidth="1"/>
    <col min="6" max="6" width="13.28515625" customWidth="1"/>
    <col min="7" max="7" width="17.42578125" customWidth="1"/>
    <col min="8" max="8" width="13.42578125" customWidth="1"/>
    <col min="9" max="9" width="14.140625" customWidth="1"/>
    <col min="10" max="10" width="14.42578125" customWidth="1"/>
    <col min="11" max="11" width="14.140625" customWidth="1"/>
    <col min="12" max="12" width="13.28515625" customWidth="1"/>
    <col min="13" max="13" width="10.5703125" customWidth="1"/>
    <col min="14" max="14" width="21" customWidth="1"/>
    <col min="15" max="15" width="13.7109375" customWidth="1"/>
  </cols>
  <sheetData>
    <row r="1" spans="1:15">
      <c r="A1" s="13" t="s">
        <v>43</v>
      </c>
      <c r="B1" s="13" t="s">
        <v>44</v>
      </c>
      <c r="C1" s="13" t="s">
        <v>45</v>
      </c>
      <c r="D1" s="13" t="s">
        <v>46</v>
      </c>
      <c r="E1" s="13" t="s">
        <v>47</v>
      </c>
      <c r="F1" s="13" t="s">
        <v>48</v>
      </c>
      <c r="G1" s="13" t="s">
        <v>49</v>
      </c>
      <c r="H1" s="13" t="s">
        <v>50</v>
      </c>
      <c r="I1" s="13" t="s">
        <v>51</v>
      </c>
      <c r="J1" s="13" t="s">
        <v>52</v>
      </c>
      <c r="K1" s="13" t="s">
        <v>53</v>
      </c>
      <c r="L1" s="13" t="s">
        <v>54</v>
      </c>
      <c r="M1" s="13" t="s">
        <v>55</v>
      </c>
      <c r="N1" s="13" t="s">
        <v>56</v>
      </c>
      <c r="O1" s="13" t="s">
        <v>57</v>
      </c>
    </row>
    <row r="2" spans="1:15">
      <c r="A2" t="s">
        <v>58</v>
      </c>
      <c r="B2" s="14">
        <v>45567</v>
      </c>
      <c r="C2" t="s">
        <v>59</v>
      </c>
      <c r="D2" t="s">
        <v>60</v>
      </c>
      <c r="E2" t="s">
        <v>61</v>
      </c>
      <c r="F2" t="s">
        <v>62</v>
      </c>
      <c r="G2" t="s">
        <v>63</v>
      </c>
      <c r="H2">
        <v>3</v>
      </c>
      <c r="I2">
        <v>78.72</v>
      </c>
      <c r="J2">
        <v>236.16</v>
      </c>
      <c r="K2">
        <v>46.08</v>
      </c>
      <c r="L2">
        <v>138.24</v>
      </c>
      <c r="M2">
        <v>97.92</v>
      </c>
      <c r="N2">
        <v>121</v>
      </c>
      <c r="O2">
        <v>30</v>
      </c>
    </row>
    <row r="3" spans="1:15">
      <c r="A3" t="s">
        <v>64</v>
      </c>
      <c r="B3" s="14">
        <v>45533</v>
      </c>
      <c r="C3" t="s">
        <v>65</v>
      </c>
      <c r="D3" t="s">
        <v>66</v>
      </c>
      <c r="E3" t="s">
        <v>67</v>
      </c>
      <c r="G3" t="s">
        <v>68</v>
      </c>
      <c r="H3">
        <v>15</v>
      </c>
      <c r="I3">
        <v>148.38</v>
      </c>
      <c r="J3">
        <v>2225.6999999999998</v>
      </c>
      <c r="K3">
        <v>71.3</v>
      </c>
      <c r="L3">
        <v>1069.5</v>
      </c>
      <c r="M3">
        <v>1156.2</v>
      </c>
      <c r="N3">
        <v>145</v>
      </c>
      <c r="O3">
        <v>30</v>
      </c>
    </row>
    <row r="4" spans="1:15">
      <c r="A4" t="s">
        <v>69</v>
      </c>
      <c r="B4" s="14">
        <v>45545</v>
      </c>
      <c r="C4" t="s">
        <v>70</v>
      </c>
      <c r="D4" t="s">
        <v>71</v>
      </c>
      <c r="E4" t="s">
        <v>72</v>
      </c>
      <c r="F4" t="s">
        <v>73</v>
      </c>
      <c r="G4" t="s">
        <v>74</v>
      </c>
      <c r="H4">
        <v>2</v>
      </c>
      <c r="I4">
        <v>124.44</v>
      </c>
      <c r="J4">
        <v>248.88</v>
      </c>
      <c r="K4">
        <v>73.97</v>
      </c>
      <c r="L4">
        <v>147.94</v>
      </c>
      <c r="M4">
        <v>100.94</v>
      </c>
      <c r="N4">
        <v>151</v>
      </c>
      <c r="O4">
        <v>50</v>
      </c>
    </row>
    <row r="5" spans="1:15">
      <c r="A5" t="s">
        <v>75</v>
      </c>
      <c r="B5" s="14">
        <v>45324</v>
      </c>
      <c r="C5" t="s">
        <v>70</v>
      </c>
      <c r="D5" t="s">
        <v>71</v>
      </c>
      <c r="E5" t="s">
        <v>72</v>
      </c>
      <c r="F5" t="s">
        <v>76</v>
      </c>
      <c r="H5">
        <v>14</v>
      </c>
      <c r="I5">
        <v>222.84</v>
      </c>
      <c r="J5">
        <v>3119.76</v>
      </c>
      <c r="K5">
        <v>99.56</v>
      </c>
      <c r="L5">
        <v>1393.84</v>
      </c>
      <c r="M5">
        <v>1725.92</v>
      </c>
      <c r="N5">
        <v>159</v>
      </c>
      <c r="O5">
        <v>50</v>
      </c>
    </row>
    <row r="6" spans="1:15">
      <c r="A6" t="s">
        <v>77</v>
      </c>
      <c r="B6" s="14">
        <v>45468</v>
      </c>
      <c r="C6" t="s">
        <v>78</v>
      </c>
      <c r="D6" t="s">
        <v>79</v>
      </c>
      <c r="E6" t="s">
        <v>72</v>
      </c>
      <c r="F6" t="s">
        <v>73</v>
      </c>
      <c r="G6" t="s">
        <v>74</v>
      </c>
      <c r="H6">
        <v>8</v>
      </c>
      <c r="I6">
        <v>129.37</v>
      </c>
      <c r="J6">
        <v>1034.96</v>
      </c>
      <c r="K6">
        <v>82.16</v>
      </c>
      <c r="L6">
        <v>657.28</v>
      </c>
      <c r="M6">
        <v>377.68</v>
      </c>
      <c r="N6">
        <v>175</v>
      </c>
      <c r="O6">
        <v>30</v>
      </c>
    </row>
    <row r="7" spans="1:15">
      <c r="A7" t="s">
        <v>80</v>
      </c>
      <c r="B7" s="14">
        <v>45476</v>
      </c>
      <c r="C7" t="s">
        <v>78</v>
      </c>
      <c r="D7" t="s">
        <v>79</v>
      </c>
      <c r="E7" t="s">
        <v>72</v>
      </c>
      <c r="F7" t="s">
        <v>73</v>
      </c>
      <c r="G7" t="s">
        <v>74</v>
      </c>
      <c r="H7">
        <v>6</v>
      </c>
      <c r="I7">
        <v>157.35</v>
      </c>
      <c r="J7">
        <v>944.1</v>
      </c>
      <c r="K7">
        <v>80.72</v>
      </c>
      <c r="L7">
        <v>484.32</v>
      </c>
      <c r="M7">
        <v>459.78</v>
      </c>
      <c r="N7">
        <v>191</v>
      </c>
      <c r="O7">
        <v>20</v>
      </c>
    </row>
    <row r="8" spans="1:15">
      <c r="A8" t="s">
        <v>81</v>
      </c>
      <c r="B8" s="14">
        <v>45544</v>
      </c>
      <c r="C8" t="s">
        <v>70</v>
      </c>
      <c r="D8" t="s">
        <v>71</v>
      </c>
      <c r="E8" t="s">
        <v>72</v>
      </c>
      <c r="F8" t="s">
        <v>82</v>
      </c>
      <c r="G8" t="s">
        <v>68</v>
      </c>
      <c r="H8">
        <v>8</v>
      </c>
      <c r="I8">
        <v>56.31</v>
      </c>
      <c r="J8">
        <v>450.48</v>
      </c>
      <c r="K8">
        <v>23.58</v>
      </c>
      <c r="L8">
        <v>188.64</v>
      </c>
      <c r="M8">
        <v>261.83999999999997</v>
      </c>
      <c r="N8">
        <v>4</v>
      </c>
      <c r="O8">
        <v>30</v>
      </c>
    </row>
    <row r="9" spans="1:15">
      <c r="A9" t="s">
        <v>83</v>
      </c>
      <c r="B9" s="14">
        <v>45324</v>
      </c>
      <c r="C9" t="s">
        <v>84</v>
      </c>
      <c r="D9" t="s">
        <v>85</v>
      </c>
      <c r="E9" t="s">
        <v>86</v>
      </c>
      <c r="F9" t="s">
        <v>73</v>
      </c>
      <c r="G9" t="s">
        <v>68</v>
      </c>
      <c r="H9">
        <v>14</v>
      </c>
      <c r="I9">
        <v>32.92</v>
      </c>
      <c r="J9">
        <v>460.88</v>
      </c>
      <c r="K9">
        <v>16.149999999999999</v>
      </c>
      <c r="L9">
        <v>226.1</v>
      </c>
      <c r="M9">
        <v>234.78</v>
      </c>
      <c r="N9">
        <v>143</v>
      </c>
      <c r="O9">
        <v>20</v>
      </c>
    </row>
    <row r="10" spans="1:15">
      <c r="A10" t="s">
        <v>87</v>
      </c>
      <c r="B10" s="14">
        <v>45577</v>
      </c>
      <c r="C10" t="s">
        <v>70</v>
      </c>
      <c r="D10" t="s">
        <v>71</v>
      </c>
      <c r="E10" t="s">
        <v>72</v>
      </c>
      <c r="G10" t="s">
        <v>88</v>
      </c>
      <c r="H10">
        <v>5</v>
      </c>
      <c r="I10">
        <v>214.08</v>
      </c>
      <c r="J10">
        <v>1070.4000000000001</v>
      </c>
      <c r="K10">
        <v>160.44999999999999</v>
      </c>
      <c r="L10">
        <v>802.25</v>
      </c>
      <c r="M10">
        <v>268.14999999999998</v>
      </c>
      <c r="N10">
        <v>154</v>
      </c>
      <c r="O10">
        <v>50</v>
      </c>
    </row>
    <row r="11" spans="1:15">
      <c r="A11" t="s">
        <v>89</v>
      </c>
      <c r="B11" s="14">
        <v>45348</v>
      </c>
      <c r="C11" t="s">
        <v>90</v>
      </c>
      <c r="D11" t="s">
        <v>91</v>
      </c>
      <c r="E11" t="s">
        <v>72</v>
      </c>
      <c r="G11" t="s">
        <v>92</v>
      </c>
      <c r="H11">
        <v>20</v>
      </c>
      <c r="I11">
        <v>154.37</v>
      </c>
      <c r="J11">
        <v>3087.4</v>
      </c>
      <c r="K11">
        <v>114.75</v>
      </c>
      <c r="L11">
        <v>2295</v>
      </c>
      <c r="M11">
        <v>792.4</v>
      </c>
      <c r="N11">
        <v>26</v>
      </c>
      <c r="O11">
        <v>50</v>
      </c>
    </row>
    <row r="12" spans="1:15">
      <c r="A12" t="s">
        <v>93</v>
      </c>
      <c r="B12" s="14">
        <v>45372</v>
      </c>
      <c r="C12" t="s">
        <v>70</v>
      </c>
      <c r="D12" t="s">
        <v>71</v>
      </c>
      <c r="E12" t="s">
        <v>72</v>
      </c>
      <c r="F12" t="s">
        <v>76</v>
      </c>
      <c r="G12" t="s">
        <v>68</v>
      </c>
      <c r="H12">
        <v>15</v>
      </c>
      <c r="I12">
        <v>191.68</v>
      </c>
      <c r="J12">
        <v>2875.2</v>
      </c>
      <c r="K12">
        <v>114.88</v>
      </c>
      <c r="L12">
        <v>1723.2</v>
      </c>
      <c r="M12">
        <v>1152</v>
      </c>
      <c r="N12">
        <v>25</v>
      </c>
      <c r="O12">
        <v>20</v>
      </c>
    </row>
    <row r="13" spans="1:15">
      <c r="A13" t="s">
        <v>94</v>
      </c>
      <c r="B13" s="14">
        <v>45295</v>
      </c>
      <c r="C13" t="s">
        <v>59</v>
      </c>
      <c r="D13" t="s">
        <v>60</v>
      </c>
      <c r="E13" t="s">
        <v>61</v>
      </c>
      <c r="F13" t="s">
        <v>76</v>
      </c>
      <c r="G13" t="s">
        <v>88</v>
      </c>
      <c r="H13">
        <v>16</v>
      </c>
      <c r="I13">
        <v>88.62</v>
      </c>
      <c r="J13">
        <v>1417.92</v>
      </c>
      <c r="K13">
        <v>53.35</v>
      </c>
      <c r="L13">
        <v>853.6</v>
      </c>
      <c r="M13">
        <v>564.32000000000005</v>
      </c>
      <c r="N13">
        <v>21</v>
      </c>
      <c r="O13">
        <v>30</v>
      </c>
    </row>
    <row r="14" spans="1:15">
      <c r="A14" t="s">
        <v>95</v>
      </c>
      <c r="B14" s="14">
        <v>45563</v>
      </c>
      <c r="C14" t="s">
        <v>96</v>
      </c>
      <c r="D14" t="s">
        <v>97</v>
      </c>
      <c r="E14" t="s">
        <v>67</v>
      </c>
      <c r="F14" t="s">
        <v>76</v>
      </c>
      <c r="G14" t="s">
        <v>63</v>
      </c>
      <c r="H14">
        <v>8</v>
      </c>
      <c r="I14">
        <v>38.81</v>
      </c>
      <c r="J14">
        <v>310.48</v>
      </c>
      <c r="K14">
        <v>22.18</v>
      </c>
      <c r="L14">
        <v>177.44</v>
      </c>
      <c r="M14">
        <v>133.04</v>
      </c>
      <c r="N14">
        <v>104</v>
      </c>
      <c r="O14">
        <v>30</v>
      </c>
    </row>
    <row r="15" spans="1:15">
      <c r="A15" t="s">
        <v>98</v>
      </c>
      <c r="B15" s="14">
        <v>45327</v>
      </c>
      <c r="C15" t="s">
        <v>90</v>
      </c>
      <c r="D15" t="s">
        <v>91</v>
      </c>
      <c r="E15" t="s">
        <v>72</v>
      </c>
      <c r="F15" t="s">
        <v>62</v>
      </c>
      <c r="G15" t="s">
        <v>99</v>
      </c>
      <c r="H15">
        <v>11</v>
      </c>
      <c r="I15">
        <v>82.13</v>
      </c>
      <c r="J15">
        <v>903.43</v>
      </c>
      <c r="K15">
        <v>65.11</v>
      </c>
      <c r="L15">
        <v>716.21</v>
      </c>
      <c r="M15">
        <v>187.22</v>
      </c>
      <c r="N15">
        <v>42</v>
      </c>
      <c r="O15">
        <v>30</v>
      </c>
    </row>
    <row r="16" spans="1:15">
      <c r="A16" t="s">
        <v>100</v>
      </c>
      <c r="B16" s="14">
        <v>45321</v>
      </c>
      <c r="C16" t="s">
        <v>70</v>
      </c>
      <c r="D16" t="s">
        <v>71</v>
      </c>
      <c r="E16" t="s">
        <v>72</v>
      </c>
      <c r="G16" t="s">
        <v>68</v>
      </c>
      <c r="H16">
        <v>14</v>
      </c>
      <c r="I16">
        <v>103.49</v>
      </c>
      <c r="J16">
        <v>1448.86</v>
      </c>
      <c r="K16">
        <v>69.58</v>
      </c>
      <c r="L16">
        <v>974.12</v>
      </c>
      <c r="M16">
        <v>474.74</v>
      </c>
      <c r="N16">
        <v>141</v>
      </c>
      <c r="O16">
        <v>30</v>
      </c>
    </row>
    <row r="17" spans="1:15">
      <c r="A17" t="s">
        <v>101</v>
      </c>
      <c r="B17" s="14">
        <v>45498</v>
      </c>
      <c r="C17" t="s">
        <v>78</v>
      </c>
      <c r="D17" t="s">
        <v>79</v>
      </c>
      <c r="E17" t="s">
        <v>72</v>
      </c>
      <c r="F17" t="s">
        <v>73</v>
      </c>
      <c r="G17" t="s">
        <v>88</v>
      </c>
      <c r="H17">
        <v>7</v>
      </c>
      <c r="I17">
        <v>222.46</v>
      </c>
      <c r="J17">
        <v>1557.22</v>
      </c>
      <c r="K17">
        <v>144.54</v>
      </c>
      <c r="L17">
        <v>1011.78</v>
      </c>
      <c r="M17">
        <v>545.44000000000005</v>
      </c>
      <c r="N17">
        <v>158</v>
      </c>
      <c r="O17">
        <v>50</v>
      </c>
    </row>
    <row r="18" spans="1:15">
      <c r="A18" t="s">
        <v>102</v>
      </c>
      <c r="B18" s="14">
        <v>45446</v>
      </c>
      <c r="C18" t="s">
        <v>90</v>
      </c>
      <c r="D18" t="s">
        <v>91</v>
      </c>
      <c r="E18" t="s">
        <v>72</v>
      </c>
      <c r="F18" t="s">
        <v>103</v>
      </c>
      <c r="G18" t="s">
        <v>92</v>
      </c>
      <c r="H18">
        <v>2</v>
      </c>
      <c r="I18">
        <v>136.66999999999999</v>
      </c>
      <c r="K18">
        <v>75.989999999999995</v>
      </c>
      <c r="L18">
        <v>151.97999999999999</v>
      </c>
      <c r="M18">
        <v>121.36</v>
      </c>
      <c r="N18">
        <v>184</v>
      </c>
      <c r="O18">
        <v>50</v>
      </c>
    </row>
    <row r="19" spans="1:15">
      <c r="A19" t="s">
        <v>104</v>
      </c>
      <c r="B19" s="14">
        <v>45558</v>
      </c>
      <c r="C19" t="s">
        <v>84</v>
      </c>
      <c r="D19" t="s">
        <v>85</v>
      </c>
      <c r="E19" t="s">
        <v>86</v>
      </c>
      <c r="F19" t="s">
        <v>82</v>
      </c>
      <c r="G19" t="s">
        <v>74</v>
      </c>
      <c r="H19">
        <v>6</v>
      </c>
      <c r="I19">
        <v>10.74</v>
      </c>
      <c r="J19">
        <v>64.44</v>
      </c>
      <c r="K19">
        <v>8.1199999999999992</v>
      </c>
      <c r="L19">
        <v>48.72</v>
      </c>
      <c r="M19">
        <v>15.72</v>
      </c>
      <c r="N19">
        <v>138</v>
      </c>
      <c r="O19">
        <v>50</v>
      </c>
    </row>
    <row r="20" spans="1:15">
      <c r="A20" t="s">
        <v>105</v>
      </c>
      <c r="B20" s="14">
        <v>45322</v>
      </c>
      <c r="C20" t="s">
        <v>84</v>
      </c>
      <c r="D20" t="s">
        <v>85</v>
      </c>
      <c r="E20" t="s">
        <v>86</v>
      </c>
      <c r="F20" t="s">
        <v>106</v>
      </c>
      <c r="G20" t="s">
        <v>99</v>
      </c>
      <c r="H20">
        <v>9</v>
      </c>
      <c r="I20">
        <v>158.61000000000001</v>
      </c>
      <c r="J20">
        <v>1427.49</v>
      </c>
      <c r="K20">
        <v>85.93</v>
      </c>
      <c r="L20">
        <v>773.37</v>
      </c>
      <c r="M20">
        <v>654.12</v>
      </c>
      <c r="N20">
        <v>12</v>
      </c>
      <c r="O20">
        <v>50</v>
      </c>
    </row>
    <row r="21" spans="1:15">
      <c r="A21" t="s">
        <v>107</v>
      </c>
      <c r="B21" s="14">
        <v>45589</v>
      </c>
      <c r="C21" t="s">
        <v>59</v>
      </c>
      <c r="D21" t="s">
        <v>60</v>
      </c>
      <c r="E21" t="s">
        <v>61</v>
      </c>
      <c r="F21" t="s">
        <v>103</v>
      </c>
      <c r="G21" t="s">
        <v>88</v>
      </c>
      <c r="H21">
        <v>12</v>
      </c>
      <c r="I21">
        <v>78.3</v>
      </c>
      <c r="J21">
        <v>939.6</v>
      </c>
      <c r="K21">
        <v>52.21</v>
      </c>
      <c r="L21">
        <v>626.52</v>
      </c>
      <c r="M21">
        <v>313.08</v>
      </c>
      <c r="N21">
        <v>183</v>
      </c>
      <c r="O21">
        <v>50</v>
      </c>
    </row>
    <row r="22" spans="1:15">
      <c r="A22" t="s">
        <v>108</v>
      </c>
      <c r="B22" s="14">
        <v>45390</v>
      </c>
      <c r="C22" t="s">
        <v>84</v>
      </c>
      <c r="D22" t="s">
        <v>85</v>
      </c>
      <c r="E22" t="s">
        <v>86</v>
      </c>
      <c r="F22" t="s">
        <v>106</v>
      </c>
      <c r="G22" t="s">
        <v>63</v>
      </c>
      <c r="H22">
        <v>15</v>
      </c>
      <c r="I22">
        <v>29.01</v>
      </c>
      <c r="J22">
        <v>435.15</v>
      </c>
      <c r="L22">
        <v>297.89999999999998</v>
      </c>
      <c r="M22">
        <v>137.25</v>
      </c>
      <c r="N22">
        <v>105</v>
      </c>
      <c r="O22">
        <v>20</v>
      </c>
    </row>
    <row r="23" spans="1:15">
      <c r="A23" t="s">
        <v>109</v>
      </c>
      <c r="B23" s="14">
        <v>45561</v>
      </c>
      <c r="C23" t="s">
        <v>96</v>
      </c>
      <c r="D23" t="s">
        <v>97</v>
      </c>
      <c r="E23" t="s">
        <v>67</v>
      </c>
      <c r="F23" t="s">
        <v>73</v>
      </c>
      <c r="G23" t="s">
        <v>88</v>
      </c>
      <c r="H23">
        <v>19</v>
      </c>
      <c r="I23">
        <v>141.94999999999999</v>
      </c>
      <c r="J23">
        <v>2697.05</v>
      </c>
      <c r="K23">
        <v>101</v>
      </c>
      <c r="L23">
        <v>1919</v>
      </c>
      <c r="M23">
        <v>778.05</v>
      </c>
      <c r="N23">
        <v>67</v>
      </c>
      <c r="O23">
        <v>50</v>
      </c>
    </row>
    <row r="24" spans="1:15">
      <c r="A24" t="s">
        <v>110</v>
      </c>
      <c r="B24" s="14">
        <v>45505</v>
      </c>
      <c r="C24" t="s">
        <v>111</v>
      </c>
      <c r="D24" t="s">
        <v>112</v>
      </c>
      <c r="E24" t="s">
        <v>67</v>
      </c>
      <c r="F24" t="s">
        <v>106</v>
      </c>
      <c r="G24" t="s">
        <v>88</v>
      </c>
      <c r="H24">
        <v>5</v>
      </c>
      <c r="I24">
        <v>128.91999999999999</v>
      </c>
      <c r="J24">
        <v>644.6</v>
      </c>
      <c r="K24">
        <v>76.569999999999993</v>
      </c>
      <c r="L24">
        <v>382.85</v>
      </c>
      <c r="M24">
        <v>261.75</v>
      </c>
      <c r="N24">
        <v>117</v>
      </c>
      <c r="O24">
        <v>20</v>
      </c>
    </row>
    <row r="25" spans="1:15">
      <c r="A25" t="s">
        <v>113</v>
      </c>
      <c r="B25" s="14">
        <v>45481</v>
      </c>
      <c r="C25" t="s">
        <v>90</v>
      </c>
      <c r="D25" t="s">
        <v>91</v>
      </c>
      <c r="E25" t="s">
        <v>72</v>
      </c>
      <c r="F25" t="s">
        <v>82</v>
      </c>
      <c r="H25">
        <v>20</v>
      </c>
      <c r="I25">
        <v>213.82</v>
      </c>
      <c r="J25">
        <v>4276.3999999999996</v>
      </c>
      <c r="K25">
        <v>94.96</v>
      </c>
      <c r="L25">
        <v>1899.2</v>
      </c>
      <c r="M25">
        <v>2377.1999999999998</v>
      </c>
      <c r="N25">
        <v>94</v>
      </c>
      <c r="O25">
        <v>50</v>
      </c>
    </row>
    <row r="26" spans="1:15">
      <c r="A26" t="s">
        <v>114</v>
      </c>
      <c r="B26" s="14">
        <v>45442</v>
      </c>
      <c r="C26" t="s">
        <v>78</v>
      </c>
      <c r="D26" t="s">
        <v>79</v>
      </c>
      <c r="E26" t="s">
        <v>72</v>
      </c>
      <c r="F26" t="s">
        <v>62</v>
      </c>
      <c r="G26" t="s">
        <v>68</v>
      </c>
      <c r="H26">
        <v>1</v>
      </c>
      <c r="I26">
        <v>198.84</v>
      </c>
      <c r="J26">
        <v>198.84</v>
      </c>
      <c r="K26">
        <v>90.84</v>
      </c>
      <c r="L26">
        <v>90.84</v>
      </c>
      <c r="M26">
        <v>108</v>
      </c>
      <c r="N26">
        <v>150</v>
      </c>
      <c r="O26">
        <v>30</v>
      </c>
    </row>
    <row r="27" spans="1:15">
      <c r="A27" t="s">
        <v>115</v>
      </c>
      <c r="B27" s="14">
        <v>45354</v>
      </c>
      <c r="C27" t="s">
        <v>84</v>
      </c>
      <c r="D27" t="s">
        <v>85</v>
      </c>
      <c r="E27" t="s">
        <v>86</v>
      </c>
      <c r="F27" t="s">
        <v>73</v>
      </c>
      <c r="G27" t="s">
        <v>68</v>
      </c>
      <c r="H27">
        <v>3</v>
      </c>
      <c r="I27">
        <v>218.25</v>
      </c>
      <c r="J27">
        <v>654.75</v>
      </c>
      <c r="K27">
        <v>123.75</v>
      </c>
      <c r="L27">
        <v>371.25</v>
      </c>
      <c r="M27">
        <v>283.5</v>
      </c>
      <c r="N27">
        <v>146</v>
      </c>
      <c r="O27">
        <v>30</v>
      </c>
    </row>
    <row r="28" spans="1:15">
      <c r="A28" t="s">
        <v>116</v>
      </c>
      <c r="B28" s="14">
        <v>45362</v>
      </c>
      <c r="C28" t="s">
        <v>78</v>
      </c>
      <c r="D28" t="s">
        <v>79</v>
      </c>
      <c r="E28" t="s">
        <v>72</v>
      </c>
      <c r="F28" t="s">
        <v>106</v>
      </c>
      <c r="G28" t="s">
        <v>92</v>
      </c>
      <c r="H28">
        <v>15</v>
      </c>
      <c r="I28">
        <v>168.47</v>
      </c>
      <c r="J28">
        <v>2527.0500000000002</v>
      </c>
      <c r="K28">
        <v>77.430000000000007</v>
      </c>
      <c r="L28">
        <v>1161.45</v>
      </c>
      <c r="M28">
        <v>1365.6</v>
      </c>
      <c r="N28">
        <v>186</v>
      </c>
      <c r="O28">
        <v>30</v>
      </c>
    </row>
    <row r="29" spans="1:15">
      <c r="A29" t="s">
        <v>117</v>
      </c>
      <c r="B29" s="14">
        <v>45568</v>
      </c>
      <c r="C29" t="s">
        <v>65</v>
      </c>
      <c r="D29" t="s">
        <v>66</v>
      </c>
      <c r="E29" t="s">
        <v>67</v>
      </c>
      <c r="F29" t="s">
        <v>62</v>
      </c>
      <c r="G29" t="s">
        <v>92</v>
      </c>
      <c r="H29">
        <v>15</v>
      </c>
      <c r="I29">
        <v>185.3</v>
      </c>
      <c r="J29">
        <v>2779.5</v>
      </c>
      <c r="K29">
        <v>122</v>
      </c>
      <c r="L29">
        <v>1830</v>
      </c>
      <c r="M29">
        <v>949.5</v>
      </c>
      <c r="N29">
        <v>42</v>
      </c>
      <c r="O29">
        <v>50</v>
      </c>
    </row>
    <row r="30" spans="1:15">
      <c r="A30" t="s">
        <v>118</v>
      </c>
      <c r="B30" s="14">
        <v>45621</v>
      </c>
      <c r="C30" t="s">
        <v>90</v>
      </c>
      <c r="D30" t="s">
        <v>91</v>
      </c>
      <c r="E30" t="s">
        <v>72</v>
      </c>
      <c r="F30" t="s">
        <v>119</v>
      </c>
      <c r="H30">
        <v>7</v>
      </c>
      <c r="I30">
        <v>239.02</v>
      </c>
      <c r="J30">
        <v>1673.14</v>
      </c>
      <c r="K30">
        <v>147.41</v>
      </c>
      <c r="L30">
        <v>1031.8699999999999</v>
      </c>
      <c r="M30">
        <v>641.27</v>
      </c>
      <c r="N30">
        <v>193</v>
      </c>
      <c r="O30">
        <v>20</v>
      </c>
    </row>
    <row r="31" spans="1:15">
      <c r="A31" t="s">
        <v>120</v>
      </c>
      <c r="B31" s="14">
        <v>45301</v>
      </c>
      <c r="C31" t="s">
        <v>70</v>
      </c>
      <c r="D31" t="s">
        <v>71</v>
      </c>
      <c r="E31" t="s">
        <v>72</v>
      </c>
      <c r="F31" t="s">
        <v>106</v>
      </c>
      <c r="G31" t="s">
        <v>92</v>
      </c>
      <c r="H31">
        <v>7</v>
      </c>
      <c r="I31">
        <v>65.099999999999994</v>
      </c>
      <c r="K31">
        <v>44.41</v>
      </c>
      <c r="L31">
        <v>310.87</v>
      </c>
      <c r="M31">
        <v>144.83000000000001</v>
      </c>
      <c r="N31">
        <v>148</v>
      </c>
      <c r="O31">
        <v>30</v>
      </c>
    </row>
    <row r="32" spans="1:15">
      <c r="A32" t="s">
        <v>121</v>
      </c>
      <c r="B32" s="14">
        <v>45303</v>
      </c>
      <c r="C32" t="s">
        <v>84</v>
      </c>
      <c r="D32" t="s">
        <v>85</v>
      </c>
      <c r="E32" t="s">
        <v>86</v>
      </c>
      <c r="G32" t="s">
        <v>68</v>
      </c>
      <c r="H32">
        <v>14</v>
      </c>
      <c r="I32">
        <v>49.22</v>
      </c>
      <c r="J32">
        <v>689.08</v>
      </c>
      <c r="K32">
        <v>20.16</v>
      </c>
      <c r="L32">
        <v>282.24</v>
      </c>
      <c r="M32">
        <v>406.84</v>
      </c>
      <c r="N32">
        <v>135</v>
      </c>
      <c r="O32">
        <v>30</v>
      </c>
    </row>
    <row r="33" spans="1:15">
      <c r="A33" t="s">
        <v>122</v>
      </c>
      <c r="B33" s="14">
        <v>45385</v>
      </c>
      <c r="C33" t="s">
        <v>70</v>
      </c>
      <c r="D33" t="s">
        <v>71</v>
      </c>
      <c r="E33" t="s">
        <v>72</v>
      </c>
      <c r="F33" t="s">
        <v>62</v>
      </c>
      <c r="G33" t="s">
        <v>92</v>
      </c>
      <c r="H33">
        <v>3</v>
      </c>
      <c r="I33">
        <v>42.79</v>
      </c>
      <c r="J33">
        <v>128.37</v>
      </c>
      <c r="K33">
        <v>33.409999999999997</v>
      </c>
      <c r="L33">
        <v>100.23</v>
      </c>
      <c r="M33">
        <v>28.14</v>
      </c>
      <c r="N33">
        <v>173</v>
      </c>
      <c r="O33">
        <v>20</v>
      </c>
    </row>
    <row r="34" spans="1:15">
      <c r="A34" t="s">
        <v>123</v>
      </c>
      <c r="B34" s="14">
        <v>45342</v>
      </c>
      <c r="C34" t="s">
        <v>84</v>
      </c>
      <c r="D34" t="s">
        <v>85</v>
      </c>
      <c r="E34" t="s">
        <v>86</v>
      </c>
      <c r="F34" t="s">
        <v>62</v>
      </c>
      <c r="G34" t="s">
        <v>74</v>
      </c>
      <c r="H34">
        <v>5</v>
      </c>
      <c r="I34">
        <v>106.14</v>
      </c>
      <c r="J34">
        <v>530.70000000000005</v>
      </c>
      <c r="K34">
        <v>56.22</v>
      </c>
      <c r="L34">
        <v>281.10000000000002</v>
      </c>
      <c r="M34">
        <v>249.6</v>
      </c>
      <c r="N34">
        <v>96</v>
      </c>
      <c r="O34">
        <v>20</v>
      </c>
    </row>
    <row r="35" spans="1:15">
      <c r="A35" t="s">
        <v>124</v>
      </c>
      <c r="B35" s="14">
        <v>45550</v>
      </c>
      <c r="C35" t="s">
        <v>96</v>
      </c>
      <c r="D35" t="s">
        <v>97</v>
      </c>
      <c r="E35" t="s">
        <v>67</v>
      </c>
      <c r="G35" t="s">
        <v>99</v>
      </c>
      <c r="H35">
        <v>4</v>
      </c>
      <c r="I35">
        <v>70.98</v>
      </c>
      <c r="J35">
        <v>283.92</v>
      </c>
      <c r="L35">
        <v>149.72</v>
      </c>
      <c r="M35">
        <v>134.19999999999999</v>
      </c>
      <c r="N35">
        <v>141</v>
      </c>
      <c r="O35">
        <v>30</v>
      </c>
    </row>
    <row r="36" spans="1:15">
      <c r="A36" t="s">
        <v>125</v>
      </c>
      <c r="B36" s="14">
        <v>45575</v>
      </c>
      <c r="C36" t="s">
        <v>90</v>
      </c>
      <c r="D36" t="s">
        <v>91</v>
      </c>
      <c r="E36" t="s">
        <v>72</v>
      </c>
      <c r="G36" t="s">
        <v>99</v>
      </c>
      <c r="H36">
        <v>8</v>
      </c>
      <c r="I36">
        <v>191.93</v>
      </c>
      <c r="J36">
        <v>1535.44</v>
      </c>
      <c r="K36">
        <v>126.79</v>
      </c>
      <c r="L36">
        <v>1014.32</v>
      </c>
      <c r="M36">
        <v>521.12</v>
      </c>
      <c r="N36">
        <v>32</v>
      </c>
      <c r="O36">
        <v>30</v>
      </c>
    </row>
    <row r="37" spans="1:15">
      <c r="A37" t="s">
        <v>126</v>
      </c>
      <c r="B37" s="14">
        <v>45483</v>
      </c>
      <c r="C37" t="s">
        <v>111</v>
      </c>
      <c r="D37" t="s">
        <v>112</v>
      </c>
      <c r="E37" t="s">
        <v>67</v>
      </c>
      <c r="F37" t="s">
        <v>62</v>
      </c>
      <c r="G37" t="s">
        <v>63</v>
      </c>
      <c r="H37">
        <v>8</v>
      </c>
      <c r="I37">
        <v>136.69999999999999</v>
      </c>
      <c r="J37">
        <v>1093.5999999999999</v>
      </c>
      <c r="K37">
        <v>77.849999999999994</v>
      </c>
      <c r="L37">
        <v>622.79999999999995</v>
      </c>
      <c r="M37">
        <v>470.8</v>
      </c>
      <c r="N37">
        <v>142</v>
      </c>
      <c r="O37">
        <v>30</v>
      </c>
    </row>
    <row r="38" spans="1:15">
      <c r="A38" t="s">
        <v>127</v>
      </c>
      <c r="B38" s="14">
        <v>45377</v>
      </c>
      <c r="C38" t="s">
        <v>65</v>
      </c>
      <c r="D38" t="s">
        <v>66</v>
      </c>
      <c r="E38" t="s">
        <v>67</v>
      </c>
      <c r="F38" t="s">
        <v>128</v>
      </c>
      <c r="G38" t="s">
        <v>68</v>
      </c>
      <c r="H38">
        <v>2</v>
      </c>
      <c r="I38">
        <v>233.71</v>
      </c>
      <c r="J38">
        <v>467.42</v>
      </c>
      <c r="K38">
        <v>138.56</v>
      </c>
      <c r="L38">
        <v>277.12</v>
      </c>
      <c r="M38">
        <v>190.3</v>
      </c>
      <c r="N38">
        <v>153</v>
      </c>
      <c r="O38">
        <v>30</v>
      </c>
    </row>
    <row r="39" spans="1:15">
      <c r="A39" t="s">
        <v>129</v>
      </c>
      <c r="B39" s="14">
        <v>45374</v>
      </c>
      <c r="C39" t="s">
        <v>90</v>
      </c>
      <c r="D39" t="s">
        <v>91</v>
      </c>
      <c r="E39" t="s">
        <v>72</v>
      </c>
      <c r="F39" t="s">
        <v>82</v>
      </c>
      <c r="G39" t="s">
        <v>99</v>
      </c>
      <c r="H39">
        <v>10</v>
      </c>
      <c r="I39">
        <v>26.98</v>
      </c>
      <c r="J39">
        <v>269.8</v>
      </c>
      <c r="K39">
        <v>18.329999999999998</v>
      </c>
      <c r="L39">
        <v>183.3</v>
      </c>
      <c r="M39">
        <v>86.5</v>
      </c>
      <c r="N39">
        <v>35</v>
      </c>
      <c r="O39">
        <v>50</v>
      </c>
    </row>
    <row r="40" spans="1:15">
      <c r="A40" t="s">
        <v>130</v>
      </c>
      <c r="B40" s="14">
        <v>45467</v>
      </c>
      <c r="C40" t="s">
        <v>70</v>
      </c>
      <c r="D40" t="s">
        <v>71</v>
      </c>
      <c r="E40" t="s">
        <v>72</v>
      </c>
      <c r="F40" t="s">
        <v>119</v>
      </c>
      <c r="G40" t="s">
        <v>99</v>
      </c>
      <c r="H40">
        <v>15</v>
      </c>
      <c r="I40">
        <v>71.89</v>
      </c>
      <c r="J40">
        <v>1078.3499999999999</v>
      </c>
      <c r="K40">
        <v>47.8</v>
      </c>
      <c r="L40">
        <v>717</v>
      </c>
      <c r="M40">
        <v>361.35</v>
      </c>
      <c r="N40">
        <v>82</v>
      </c>
      <c r="O40">
        <v>30</v>
      </c>
    </row>
    <row r="41" spans="1:15">
      <c r="A41" t="s">
        <v>131</v>
      </c>
      <c r="B41" s="14">
        <v>45293</v>
      </c>
      <c r="C41" t="s">
        <v>78</v>
      </c>
      <c r="D41" t="s">
        <v>79</v>
      </c>
      <c r="E41" t="s">
        <v>72</v>
      </c>
      <c r="F41" t="s">
        <v>73</v>
      </c>
      <c r="G41" t="s">
        <v>99</v>
      </c>
      <c r="H41">
        <v>1</v>
      </c>
      <c r="I41">
        <v>225.85</v>
      </c>
      <c r="J41">
        <v>225.85</v>
      </c>
      <c r="L41">
        <v>151.11000000000001</v>
      </c>
      <c r="M41">
        <v>74.739999999999995</v>
      </c>
      <c r="N41">
        <v>105</v>
      </c>
      <c r="O41">
        <v>50</v>
      </c>
    </row>
    <row r="42" spans="1:15">
      <c r="A42" t="s">
        <v>132</v>
      </c>
      <c r="B42" s="14">
        <v>45307</v>
      </c>
      <c r="C42" t="s">
        <v>78</v>
      </c>
      <c r="D42" t="s">
        <v>79</v>
      </c>
      <c r="E42" t="s">
        <v>72</v>
      </c>
      <c r="F42" t="s">
        <v>128</v>
      </c>
      <c r="G42" t="s">
        <v>74</v>
      </c>
      <c r="H42">
        <v>4</v>
      </c>
      <c r="I42">
        <v>91.48</v>
      </c>
      <c r="J42">
        <v>365.92</v>
      </c>
      <c r="K42">
        <v>66.33</v>
      </c>
      <c r="L42">
        <v>265.32</v>
      </c>
      <c r="M42">
        <v>100.6</v>
      </c>
      <c r="N42">
        <v>153</v>
      </c>
      <c r="O42">
        <v>30</v>
      </c>
    </row>
    <row r="43" spans="1:15">
      <c r="A43" t="s">
        <v>133</v>
      </c>
      <c r="B43" s="14">
        <v>45481</v>
      </c>
      <c r="C43" t="s">
        <v>59</v>
      </c>
      <c r="D43" t="s">
        <v>60</v>
      </c>
      <c r="E43" t="s">
        <v>61</v>
      </c>
      <c r="G43" t="s">
        <v>74</v>
      </c>
      <c r="H43">
        <v>15</v>
      </c>
      <c r="I43">
        <v>7.29</v>
      </c>
      <c r="J43">
        <v>109.35</v>
      </c>
      <c r="K43">
        <v>5.08</v>
      </c>
      <c r="L43">
        <v>76.2</v>
      </c>
      <c r="M43">
        <v>33.15</v>
      </c>
      <c r="N43">
        <v>194</v>
      </c>
      <c r="O43">
        <v>30</v>
      </c>
    </row>
    <row r="44" spans="1:15">
      <c r="A44" t="s">
        <v>134</v>
      </c>
      <c r="B44" s="14">
        <v>45411</v>
      </c>
      <c r="C44" t="s">
        <v>78</v>
      </c>
      <c r="D44" t="s">
        <v>79</v>
      </c>
      <c r="E44" t="s">
        <v>72</v>
      </c>
      <c r="F44" t="s">
        <v>119</v>
      </c>
      <c r="G44" t="s">
        <v>63</v>
      </c>
      <c r="H44">
        <v>12</v>
      </c>
      <c r="I44">
        <v>14.02</v>
      </c>
      <c r="J44">
        <v>168.24</v>
      </c>
      <c r="K44">
        <v>8.3699999999999992</v>
      </c>
      <c r="L44">
        <v>100.44</v>
      </c>
      <c r="M44">
        <v>67.8</v>
      </c>
      <c r="N44">
        <v>180</v>
      </c>
      <c r="O44">
        <v>50</v>
      </c>
    </row>
    <row r="45" spans="1:15">
      <c r="A45" t="s">
        <v>135</v>
      </c>
      <c r="B45" s="14">
        <v>45583</v>
      </c>
      <c r="C45" t="s">
        <v>78</v>
      </c>
      <c r="D45" t="s">
        <v>79</v>
      </c>
      <c r="E45" t="s">
        <v>72</v>
      </c>
      <c r="F45" t="s">
        <v>103</v>
      </c>
      <c r="G45" t="s">
        <v>63</v>
      </c>
      <c r="H45">
        <v>6</v>
      </c>
      <c r="I45">
        <v>140.19</v>
      </c>
      <c r="J45">
        <v>841.14</v>
      </c>
      <c r="K45">
        <v>93.08</v>
      </c>
      <c r="L45">
        <v>558.48</v>
      </c>
      <c r="M45">
        <v>282.66000000000003</v>
      </c>
      <c r="N45">
        <v>144</v>
      </c>
      <c r="O45">
        <v>50</v>
      </c>
    </row>
    <row r="46" spans="1:15">
      <c r="A46" t="s">
        <v>136</v>
      </c>
      <c r="B46" s="14">
        <v>45408</v>
      </c>
      <c r="C46" t="s">
        <v>70</v>
      </c>
      <c r="D46" t="s">
        <v>71</v>
      </c>
      <c r="E46" t="s">
        <v>72</v>
      </c>
      <c r="F46" t="s">
        <v>82</v>
      </c>
      <c r="G46" t="s">
        <v>88</v>
      </c>
      <c r="H46">
        <v>7</v>
      </c>
      <c r="I46">
        <v>212.68</v>
      </c>
      <c r="J46">
        <v>1488.76</v>
      </c>
      <c r="K46">
        <v>87.04</v>
      </c>
      <c r="L46">
        <v>609.28</v>
      </c>
      <c r="M46">
        <v>879.48</v>
      </c>
      <c r="N46">
        <v>177</v>
      </c>
      <c r="O46">
        <v>50</v>
      </c>
    </row>
    <row r="47" spans="1:15">
      <c r="A47" t="s">
        <v>137</v>
      </c>
      <c r="B47" s="14">
        <v>45318</v>
      </c>
      <c r="C47" t="s">
        <v>84</v>
      </c>
      <c r="D47" t="s">
        <v>85</v>
      </c>
      <c r="E47" t="s">
        <v>86</v>
      </c>
      <c r="F47" t="s">
        <v>73</v>
      </c>
      <c r="G47" t="s">
        <v>99</v>
      </c>
      <c r="H47">
        <v>14</v>
      </c>
      <c r="I47">
        <v>211.86</v>
      </c>
      <c r="J47">
        <v>2966.04</v>
      </c>
      <c r="K47">
        <v>119.22</v>
      </c>
      <c r="L47">
        <v>1669.08</v>
      </c>
      <c r="M47">
        <v>1296.96</v>
      </c>
      <c r="N47">
        <v>31</v>
      </c>
      <c r="O47">
        <v>50</v>
      </c>
    </row>
    <row r="48" spans="1:15">
      <c r="A48" t="s">
        <v>138</v>
      </c>
      <c r="B48" s="14">
        <v>45434</v>
      </c>
      <c r="C48" t="s">
        <v>96</v>
      </c>
      <c r="D48" t="s">
        <v>97</v>
      </c>
      <c r="E48" t="s">
        <v>67</v>
      </c>
      <c r="F48" t="s">
        <v>106</v>
      </c>
      <c r="G48" t="s">
        <v>92</v>
      </c>
      <c r="H48">
        <v>18</v>
      </c>
      <c r="I48">
        <v>114.97</v>
      </c>
      <c r="J48">
        <v>2069.46</v>
      </c>
      <c r="K48">
        <v>46.23</v>
      </c>
      <c r="L48">
        <v>832.14</v>
      </c>
      <c r="M48">
        <v>1237.32</v>
      </c>
      <c r="N48">
        <v>49</v>
      </c>
      <c r="O48">
        <v>30</v>
      </c>
    </row>
    <row r="49" spans="1:15">
      <c r="A49" t="s">
        <v>139</v>
      </c>
      <c r="B49" s="14">
        <v>45330</v>
      </c>
      <c r="C49" t="s">
        <v>59</v>
      </c>
      <c r="D49" t="s">
        <v>60</v>
      </c>
      <c r="E49" t="s">
        <v>61</v>
      </c>
      <c r="F49" t="s">
        <v>106</v>
      </c>
      <c r="G49" t="s">
        <v>63</v>
      </c>
      <c r="H49">
        <v>7</v>
      </c>
      <c r="I49">
        <v>45.3</v>
      </c>
      <c r="J49">
        <v>317.10000000000002</v>
      </c>
      <c r="K49">
        <v>23.75</v>
      </c>
      <c r="L49">
        <v>166.25</v>
      </c>
      <c r="M49">
        <v>150.85</v>
      </c>
      <c r="N49">
        <v>160</v>
      </c>
      <c r="O49">
        <v>50</v>
      </c>
    </row>
    <row r="50" spans="1:15">
      <c r="A50" t="s">
        <v>140</v>
      </c>
      <c r="B50" s="14">
        <v>45463</v>
      </c>
      <c r="C50" t="s">
        <v>70</v>
      </c>
      <c r="D50" t="s">
        <v>71</v>
      </c>
      <c r="E50" t="s">
        <v>72</v>
      </c>
      <c r="F50" t="s">
        <v>76</v>
      </c>
      <c r="G50" t="s">
        <v>92</v>
      </c>
      <c r="H50">
        <v>8</v>
      </c>
      <c r="I50">
        <v>31.42</v>
      </c>
      <c r="J50">
        <v>251.36</v>
      </c>
      <c r="K50">
        <v>15.56</v>
      </c>
      <c r="L50">
        <v>124.48</v>
      </c>
      <c r="M50">
        <v>126.88</v>
      </c>
      <c r="N50">
        <v>87</v>
      </c>
      <c r="O50">
        <v>20</v>
      </c>
    </row>
    <row r="51" spans="1:15">
      <c r="A51" t="s">
        <v>141</v>
      </c>
      <c r="B51" s="14">
        <v>45340</v>
      </c>
      <c r="C51" t="s">
        <v>78</v>
      </c>
      <c r="D51" t="s">
        <v>79</v>
      </c>
      <c r="E51" t="s">
        <v>72</v>
      </c>
      <c r="G51" t="s">
        <v>88</v>
      </c>
      <c r="H51">
        <v>19</v>
      </c>
      <c r="I51">
        <v>35.58</v>
      </c>
      <c r="J51">
        <v>676.02</v>
      </c>
      <c r="K51">
        <v>28.1</v>
      </c>
      <c r="L51">
        <v>533.9</v>
      </c>
      <c r="M51">
        <v>142.12</v>
      </c>
      <c r="N51">
        <v>8</v>
      </c>
      <c r="O51">
        <v>30</v>
      </c>
    </row>
    <row r="52" spans="1:15">
      <c r="A52" t="s">
        <v>142</v>
      </c>
      <c r="B52" s="14">
        <v>45446</v>
      </c>
      <c r="C52" t="s">
        <v>96</v>
      </c>
      <c r="D52" t="s">
        <v>97</v>
      </c>
      <c r="E52" t="s">
        <v>67</v>
      </c>
      <c r="G52" t="s">
        <v>99</v>
      </c>
      <c r="H52">
        <v>3</v>
      </c>
      <c r="I52">
        <v>29.95</v>
      </c>
      <c r="J52">
        <v>89.85</v>
      </c>
      <c r="K52">
        <v>12.65</v>
      </c>
      <c r="L52">
        <v>37.950000000000003</v>
      </c>
      <c r="M52">
        <v>51.9</v>
      </c>
      <c r="N52">
        <v>13</v>
      </c>
      <c r="O52">
        <v>30</v>
      </c>
    </row>
    <row r="53" spans="1:15">
      <c r="A53" t="s">
        <v>143</v>
      </c>
      <c r="B53" s="14">
        <v>45611</v>
      </c>
      <c r="C53" t="s">
        <v>65</v>
      </c>
      <c r="D53" t="s">
        <v>66</v>
      </c>
      <c r="E53" t="s">
        <v>67</v>
      </c>
      <c r="F53" t="s">
        <v>106</v>
      </c>
      <c r="G53" t="s">
        <v>68</v>
      </c>
      <c r="H53">
        <v>15</v>
      </c>
      <c r="I53">
        <v>99.06</v>
      </c>
      <c r="K53">
        <v>71.13</v>
      </c>
      <c r="L53">
        <v>1066.95</v>
      </c>
      <c r="M53">
        <v>418.95</v>
      </c>
      <c r="N53">
        <v>158</v>
      </c>
      <c r="O53">
        <v>50</v>
      </c>
    </row>
    <row r="54" spans="1:15">
      <c r="A54" t="s">
        <v>144</v>
      </c>
      <c r="B54" s="14">
        <v>45592</v>
      </c>
      <c r="C54" t="s">
        <v>59</v>
      </c>
      <c r="D54" t="s">
        <v>60</v>
      </c>
      <c r="E54" t="s">
        <v>61</v>
      </c>
      <c r="F54" t="s">
        <v>119</v>
      </c>
      <c r="G54" t="s">
        <v>92</v>
      </c>
      <c r="H54">
        <v>4</v>
      </c>
      <c r="I54">
        <v>30.16</v>
      </c>
      <c r="J54">
        <v>120.64</v>
      </c>
      <c r="K54">
        <v>19.239999999999998</v>
      </c>
      <c r="L54">
        <v>76.959999999999994</v>
      </c>
      <c r="M54">
        <v>43.68</v>
      </c>
      <c r="N54">
        <v>17</v>
      </c>
      <c r="O54">
        <v>50</v>
      </c>
    </row>
    <row r="55" spans="1:15">
      <c r="A55" t="s">
        <v>145</v>
      </c>
      <c r="B55" s="14">
        <v>45609</v>
      </c>
      <c r="C55" t="s">
        <v>78</v>
      </c>
      <c r="D55" t="s">
        <v>79</v>
      </c>
      <c r="E55" t="s">
        <v>72</v>
      </c>
      <c r="F55" t="s">
        <v>82</v>
      </c>
      <c r="G55" t="s">
        <v>92</v>
      </c>
      <c r="H55">
        <v>6</v>
      </c>
      <c r="I55">
        <v>64.569999999999993</v>
      </c>
      <c r="J55">
        <v>387.42</v>
      </c>
      <c r="K55">
        <v>46.41</v>
      </c>
      <c r="L55">
        <v>278.45999999999998</v>
      </c>
      <c r="M55">
        <v>108.96</v>
      </c>
      <c r="N55">
        <v>15</v>
      </c>
      <c r="O55">
        <v>20</v>
      </c>
    </row>
    <row r="56" spans="1:15">
      <c r="A56" t="s">
        <v>146</v>
      </c>
      <c r="B56" s="14">
        <v>45569</v>
      </c>
      <c r="C56" t="s">
        <v>111</v>
      </c>
      <c r="D56" t="s">
        <v>112</v>
      </c>
      <c r="E56" t="s">
        <v>67</v>
      </c>
      <c r="F56" t="s">
        <v>62</v>
      </c>
      <c r="G56" t="s">
        <v>92</v>
      </c>
      <c r="H56">
        <v>5</v>
      </c>
      <c r="I56">
        <v>120.03</v>
      </c>
      <c r="K56">
        <v>76.98</v>
      </c>
      <c r="L56">
        <v>384.9</v>
      </c>
      <c r="M56">
        <v>215.25</v>
      </c>
      <c r="N56">
        <v>74</v>
      </c>
      <c r="O56">
        <v>30</v>
      </c>
    </row>
    <row r="57" spans="1:15">
      <c r="A57" t="s">
        <v>147</v>
      </c>
      <c r="B57" s="14">
        <v>45578</v>
      </c>
      <c r="C57" t="s">
        <v>65</v>
      </c>
      <c r="D57" t="s">
        <v>66</v>
      </c>
      <c r="E57" t="s">
        <v>67</v>
      </c>
      <c r="F57" t="s">
        <v>106</v>
      </c>
      <c r="G57" t="s">
        <v>68</v>
      </c>
      <c r="H57">
        <v>14</v>
      </c>
      <c r="I57">
        <v>89.23</v>
      </c>
      <c r="J57">
        <v>1249.22</v>
      </c>
      <c r="K57">
        <v>70.55</v>
      </c>
      <c r="L57">
        <v>987.7</v>
      </c>
      <c r="M57">
        <v>261.52</v>
      </c>
      <c r="N57">
        <v>163</v>
      </c>
      <c r="O57">
        <v>20</v>
      </c>
    </row>
    <row r="58" spans="1:15">
      <c r="A58" t="s">
        <v>148</v>
      </c>
      <c r="B58" s="14">
        <v>45461</v>
      </c>
      <c r="C58" t="s">
        <v>84</v>
      </c>
      <c r="D58" t="s">
        <v>85</v>
      </c>
      <c r="E58" t="s">
        <v>86</v>
      </c>
      <c r="F58" t="s">
        <v>62</v>
      </c>
      <c r="H58">
        <v>20</v>
      </c>
      <c r="I58">
        <v>78.41</v>
      </c>
      <c r="J58">
        <v>1568.2</v>
      </c>
      <c r="K58">
        <v>41.67</v>
      </c>
      <c r="L58">
        <v>833.4</v>
      </c>
      <c r="M58">
        <v>734.8</v>
      </c>
      <c r="N58">
        <v>26</v>
      </c>
      <c r="O58">
        <v>30</v>
      </c>
    </row>
    <row r="59" spans="1:15">
      <c r="A59" t="s">
        <v>149</v>
      </c>
      <c r="B59" s="14">
        <v>45611</v>
      </c>
      <c r="C59" t="s">
        <v>59</v>
      </c>
      <c r="D59" t="s">
        <v>60</v>
      </c>
      <c r="E59" t="s">
        <v>61</v>
      </c>
      <c r="F59" t="s">
        <v>128</v>
      </c>
      <c r="G59" t="s">
        <v>74</v>
      </c>
      <c r="H59">
        <v>8</v>
      </c>
      <c r="I59">
        <v>122.78</v>
      </c>
      <c r="L59">
        <v>694.8</v>
      </c>
      <c r="M59">
        <v>287.44</v>
      </c>
      <c r="N59">
        <v>84</v>
      </c>
      <c r="O59">
        <v>50</v>
      </c>
    </row>
    <row r="60" spans="1:15">
      <c r="A60" t="s">
        <v>150</v>
      </c>
      <c r="B60" s="14">
        <v>45475</v>
      </c>
      <c r="C60" t="s">
        <v>65</v>
      </c>
      <c r="D60" t="s">
        <v>66</v>
      </c>
      <c r="E60" t="s">
        <v>67</v>
      </c>
      <c r="F60" t="s">
        <v>76</v>
      </c>
      <c r="G60" t="s">
        <v>63</v>
      </c>
      <c r="H60">
        <v>18</v>
      </c>
      <c r="I60">
        <v>33.22</v>
      </c>
      <c r="J60">
        <v>597.96</v>
      </c>
      <c r="K60">
        <v>17.149999999999999</v>
      </c>
      <c r="L60">
        <v>308.7</v>
      </c>
      <c r="M60">
        <v>289.26</v>
      </c>
      <c r="N60">
        <v>49</v>
      </c>
      <c r="O60">
        <v>50</v>
      </c>
    </row>
    <row r="61" spans="1:15">
      <c r="A61" t="s">
        <v>151</v>
      </c>
      <c r="B61" s="14">
        <v>45426</v>
      </c>
      <c r="C61" t="s">
        <v>111</v>
      </c>
      <c r="D61" t="s">
        <v>112</v>
      </c>
      <c r="E61" t="s">
        <v>67</v>
      </c>
      <c r="F61" t="s">
        <v>103</v>
      </c>
      <c r="H61">
        <v>11</v>
      </c>
      <c r="I61">
        <v>212.65</v>
      </c>
      <c r="J61">
        <v>2339.15</v>
      </c>
      <c r="K61">
        <v>105.98</v>
      </c>
      <c r="L61">
        <v>1165.78</v>
      </c>
      <c r="M61">
        <v>1173.3699999999999</v>
      </c>
      <c r="N61">
        <v>50</v>
      </c>
      <c r="O61">
        <v>20</v>
      </c>
    </row>
    <row r="62" spans="1:15">
      <c r="A62" t="s">
        <v>152</v>
      </c>
      <c r="B62" s="14">
        <v>45348</v>
      </c>
      <c r="C62" t="s">
        <v>84</v>
      </c>
      <c r="D62" t="s">
        <v>85</v>
      </c>
      <c r="E62" t="s">
        <v>86</v>
      </c>
      <c r="F62" t="s">
        <v>103</v>
      </c>
      <c r="G62" t="s">
        <v>92</v>
      </c>
      <c r="H62">
        <v>7</v>
      </c>
      <c r="I62">
        <v>79.739999999999995</v>
      </c>
      <c r="J62">
        <v>558.17999999999995</v>
      </c>
      <c r="K62">
        <v>39.56</v>
      </c>
      <c r="L62">
        <v>276.92</v>
      </c>
      <c r="M62">
        <v>281.26</v>
      </c>
      <c r="N62">
        <v>95</v>
      </c>
      <c r="O62">
        <v>50</v>
      </c>
    </row>
    <row r="63" spans="1:15">
      <c r="A63" t="s">
        <v>153</v>
      </c>
      <c r="B63" s="14">
        <v>45325</v>
      </c>
      <c r="C63" t="s">
        <v>90</v>
      </c>
      <c r="D63" t="s">
        <v>91</v>
      </c>
      <c r="E63" t="s">
        <v>72</v>
      </c>
      <c r="F63" t="s">
        <v>128</v>
      </c>
      <c r="G63" t="s">
        <v>88</v>
      </c>
      <c r="H63">
        <v>5</v>
      </c>
      <c r="I63">
        <v>221.27</v>
      </c>
      <c r="J63">
        <v>1106.3499999999999</v>
      </c>
      <c r="K63">
        <v>100.08</v>
      </c>
      <c r="L63">
        <v>500.4</v>
      </c>
      <c r="M63">
        <v>605.95000000000005</v>
      </c>
      <c r="N63">
        <v>48</v>
      </c>
      <c r="O63">
        <v>20</v>
      </c>
    </row>
    <row r="64" spans="1:15">
      <c r="A64" t="s">
        <v>154</v>
      </c>
      <c r="B64" s="14">
        <v>45315</v>
      </c>
      <c r="C64" t="s">
        <v>59</v>
      </c>
      <c r="D64" t="s">
        <v>60</v>
      </c>
      <c r="E64" t="s">
        <v>61</v>
      </c>
      <c r="F64" t="s">
        <v>82</v>
      </c>
      <c r="G64" t="s">
        <v>74</v>
      </c>
      <c r="H64">
        <v>18</v>
      </c>
      <c r="I64">
        <v>77.069999999999993</v>
      </c>
      <c r="J64">
        <v>1387.26</v>
      </c>
      <c r="K64">
        <v>35.409999999999997</v>
      </c>
      <c r="L64">
        <v>637.38</v>
      </c>
      <c r="M64">
        <v>749.88</v>
      </c>
      <c r="N64">
        <v>63</v>
      </c>
      <c r="O64">
        <v>20</v>
      </c>
    </row>
    <row r="65" spans="1:15">
      <c r="A65" t="s">
        <v>155</v>
      </c>
      <c r="B65" s="14">
        <v>45333</v>
      </c>
      <c r="C65" t="s">
        <v>78</v>
      </c>
      <c r="D65" t="s">
        <v>79</v>
      </c>
      <c r="E65" t="s">
        <v>72</v>
      </c>
      <c r="F65" t="s">
        <v>76</v>
      </c>
      <c r="G65" t="s">
        <v>99</v>
      </c>
      <c r="H65">
        <v>20</v>
      </c>
      <c r="I65">
        <v>20.89</v>
      </c>
      <c r="J65">
        <v>417.8</v>
      </c>
      <c r="K65">
        <v>12.61</v>
      </c>
      <c r="L65">
        <v>252.2</v>
      </c>
      <c r="M65">
        <v>165.6</v>
      </c>
      <c r="N65">
        <v>192</v>
      </c>
      <c r="O65">
        <v>50</v>
      </c>
    </row>
    <row r="66" spans="1:15">
      <c r="A66" t="s">
        <v>156</v>
      </c>
      <c r="B66" s="14">
        <v>45539</v>
      </c>
      <c r="C66" t="s">
        <v>78</v>
      </c>
      <c r="D66" t="s">
        <v>79</v>
      </c>
      <c r="E66" t="s">
        <v>72</v>
      </c>
      <c r="F66" t="s">
        <v>62</v>
      </c>
      <c r="G66" t="s">
        <v>74</v>
      </c>
      <c r="H66">
        <v>16</v>
      </c>
      <c r="I66">
        <v>70.739999999999995</v>
      </c>
      <c r="J66">
        <v>1131.8399999999999</v>
      </c>
      <c r="K66">
        <v>39.64</v>
      </c>
      <c r="L66">
        <v>634.24</v>
      </c>
      <c r="M66">
        <v>497.6</v>
      </c>
      <c r="N66">
        <v>149</v>
      </c>
      <c r="O66">
        <v>50</v>
      </c>
    </row>
    <row r="67" spans="1:15">
      <c r="A67" t="s">
        <v>157</v>
      </c>
      <c r="B67" s="14">
        <v>45448</v>
      </c>
      <c r="C67" t="s">
        <v>96</v>
      </c>
      <c r="D67" t="s">
        <v>97</v>
      </c>
      <c r="E67" t="s">
        <v>67</v>
      </c>
      <c r="F67" t="s">
        <v>106</v>
      </c>
      <c r="G67" t="s">
        <v>74</v>
      </c>
      <c r="H67">
        <v>13</v>
      </c>
      <c r="I67">
        <v>144.99</v>
      </c>
      <c r="J67">
        <v>1884.87</v>
      </c>
      <c r="K67">
        <v>112.25</v>
      </c>
      <c r="L67">
        <v>1459.25</v>
      </c>
      <c r="M67">
        <v>425.62</v>
      </c>
      <c r="N67">
        <v>95</v>
      </c>
      <c r="O67">
        <v>30</v>
      </c>
    </row>
    <row r="68" spans="1:15">
      <c r="A68" t="s">
        <v>158</v>
      </c>
      <c r="B68" s="14">
        <v>45313</v>
      </c>
      <c r="C68" t="s">
        <v>78</v>
      </c>
      <c r="D68" t="s">
        <v>79</v>
      </c>
      <c r="E68" t="s">
        <v>72</v>
      </c>
      <c r="F68" t="s">
        <v>128</v>
      </c>
      <c r="G68" t="s">
        <v>68</v>
      </c>
      <c r="H68">
        <v>17</v>
      </c>
      <c r="I68">
        <v>157.18</v>
      </c>
      <c r="J68">
        <v>2672.06</v>
      </c>
      <c r="K68">
        <v>89.66</v>
      </c>
      <c r="L68">
        <v>1524.22</v>
      </c>
      <c r="M68">
        <v>1147.8399999999999</v>
      </c>
      <c r="N68">
        <v>119</v>
      </c>
      <c r="O68">
        <v>30</v>
      </c>
    </row>
    <row r="69" spans="1:15">
      <c r="A69" t="s">
        <v>159</v>
      </c>
      <c r="B69" s="14">
        <v>45411</v>
      </c>
      <c r="C69" t="s">
        <v>70</v>
      </c>
      <c r="D69" t="s">
        <v>71</v>
      </c>
      <c r="E69" t="s">
        <v>72</v>
      </c>
      <c r="F69" t="s">
        <v>106</v>
      </c>
      <c r="H69">
        <v>3</v>
      </c>
      <c r="I69">
        <v>92.98</v>
      </c>
      <c r="L69">
        <v>120.78</v>
      </c>
      <c r="M69">
        <v>158.16</v>
      </c>
      <c r="N69">
        <v>128</v>
      </c>
      <c r="O69">
        <v>50</v>
      </c>
    </row>
    <row r="70" spans="1:15">
      <c r="A70" t="s">
        <v>160</v>
      </c>
      <c r="B70" s="14">
        <v>45394</v>
      </c>
      <c r="C70" t="s">
        <v>84</v>
      </c>
      <c r="D70" t="s">
        <v>85</v>
      </c>
      <c r="E70" t="s">
        <v>86</v>
      </c>
      <c r="F70" t="s">
        <v>82</v>
      </c>
      <c r="G70" t="s">
        <v>74</v>
      </c>
      <c r="H70">
        <v>7</v>
      </c>
      <c r="I70">
        <v>170.4</v>
      </c>
      <c r="J70">
        <v>1192.8</v>
      </c>
      <c r="K70">
        <v>85.2</v>
      </c>
      <c r="L70">
        <v>596.4</v>
      </c>
      <c r="M70">
        <v>596.4</v>
      </c>
      <c r="N70">
        <v>190</v>
      </c>
      <c r="O70">
        <v>50</v>
      </c>
    </row>
    <row r="71" spans="1:15">
      <c r="A71" t="s">
        <v>161</v>
      </c>
      <c r="B71" s="14">
        <v>45570</v>
      </c>
      <c r="C71" t="s">
        <v>70</v>
      </c>
      <c r="D71" t="s">
        <v>71</v>
      </c>
      <c r="E71" t="s">
        <v>72</v>
      </c>
      <c r="F71" t="s">
        <v>128</v>
      </c>
      <c r="H71">
        <v>1</v>
      </c>
      <c r="I71">
        <v>193.67</v>
      </c>
      <c r="J71">
        <v>193.67</v>
      </c>
      <c r="K71">
        <v>99.3</v>
      </c>
      <c r="L71">
        <v>99.3</v>
      </c>
      <c r="M71">
        <v>94.37</v>
      </c>
      <c r="N71">
        <v>88</v>
      </c>
      <c r="O71">
        <v>30</v>
      </c>
    </row>
    <row r="72" spans="1:15">
      <c r="A72" t="s">
        <v>162</v>
      </c>
      <c r="B72" s="14">
        <v>45368</v>
      </c>
      <c r="C72" t="s">
        <v>96</v>
      </c>
      <c r="D72" t="s">
        <v>97</v>
      </c>
      <c r="E72" t="s">
        <v>67</v>
      </c>
      <c r="F72" t="s">
        <v>73</v>
      </c>
      <c r="G72" t="s">
        <v>88</v>
      </c>
      <c r="H72">
        <v>8</v>
      </c>
      <c r="I72">
        <v>60.6</v>
      </c>
      <c r="K72">
        <v>42.4</v>
      </c>
      <c r="L72">
        <v>339.2</v>
      </c>
      <c r="M72">
        <v>145.6</v>
      </c>
      <c r="N72">
        <v>121</v>
      </c>
      <c r="O72">
        <v>20</v>
      </c>
    </row>
    <row r="73" spans="1:15">
      <c r="A73" t="s">
        <v>163</v>
      </c>
      <c r="B73" s="14">
        <v>45511</v>
      </c>
      <c r="C73" t="s">
        <v>96</v>
      </c>
      <c r="D73" t="s">
        <v>97</v>
      </c>
      <c r="E73" t="s">
        <v>67</v>
      </c>
      <c r="F73" t="s">
        <v>103</v>
      </c>
      <c r="G73" t="s">
        <v>92</v>
      </c>
      <c r="H73">
        <v>7</v>
      </c>
      <c r="I73">
        <v>112.48</v>
      </c>
      <c r="J73">
        <v>787.36</v>
      </c>
      <c r="K73">
        <v>83.37</v>
      </c>
      <c r="L73">
        <v>583.59</v>
      </c>
      <c r="M73">
        <v>203.77</v>
      </c>
      <c r="N73">
        <v>7</v>
      </c>
      <c r="O73">
        <v>30</v>
      </c>
    </row>
    <row r="74" spans="1:15">
      <c r="A74" t="s">
        <v>164</v>
      </c>
      <c r="B74" s="14">
        <v>45473</v>
      </c>
      <c r="C74" t="s">
        <v>84</v>
      </c>
      <c r="D74" t="s">
        <v>85</v>
      </c>
      <c r="E74" t="s">
        <v>86</v>
      </c>
      <c r="F74" t="s">
        <v>82</v>
      </c>
      <c r="G74" t="s">
        <v>68</v>
      </c>
      <c r="H74">
        <v>8</v>
      </c>
      <c r="I74">
        <v>107.69</v>
      </c>
      <c r="K74">
        <v>72.62</v>
      </c>
      <c r="L74">
        <v>580.96</v>
      </c>
      <c r="M74">
        <v>280.56</v>
      </c>
      <c r="N74">
        <v>103</v>
      </c>
      <c r="O74">
        <v>50</v>
      </c>
    </row>
    <row r="75" spans="1:15">
      <c r="A75" t="s">
        <v>165</v>
      </c>
      <c r="B75" s="14">
        <v>45461</v>
      </c>
      <c r="C75" t="s">
        <v>96</v>
      </c>
      <c r="D75" t="s">
        <v>97</v>
      </c>
      <c r="E75" t="s">
        <v>67</v>
      </c>
      <c r="G75" t="s">
        <v>99</v>
      </c>
      <c r="H75">
        <v>13</v>
      </c>
      <c r="I75">
        <v>55.03</v>
      </c>
      <c r="J75">
        <v>715.39</v>
      </c>
      <c r="K75">
        <v>30.61</v>
      </c>
      <c r="L75">
        <v>397.93</v>
      </c>
      <c r="M75">
        <v>317.45999999999998</v>
      </c>
      <c r="N75">
        <v>136</v>
      </c>
      <c r="O75">
        <v>30</v>
      </c>
    </row>
    <row r="76" spans="1:15">
      <c r="A76" t="s">
        <v>166</v>
      </c>
      <c r="B76" s="14">
        <v>45339</v>
      </c>
      <c r="C76" t="s">
        <v>111</v>
      </c>
      <c r="D76" t="s">
        <v>112</v>
      </c>
      <c r="E76" t="s">
        <v>67</v>
      </c>
      <c r="F76" t="s">
        <v>73</v>
      </c>
      <c r="H76">
        <v>4</v>
      </c>
      <c r="I76">
        <v>170.35</v>
      </c>
      <c r="J76">
        <v>681.4</v>
      </c>
      <c r="K76">
        <v>80.239999999999995</v>
      </c>
      <c r="L76">
        <v>320.95999999999998</v>
      </c>
      <c r="M76">
        <v>360.44</v>
      </c>
      <c r="N76">
        <v>176</v>
      </c>
      <c r="O76">
        <v>50</v>
      </c>
    </row>
    <row r="77" spans="1:15">
      <c r="A77" t="s">
        <v>167</v>
      </c>
      <c r="B77" s="14">
        <v>45411</v>
      </c>
      <c r="C77" t="s">
        <v>70</v>
      </c>
      <c r="D77" t="s">
        <v>71</v>
      </c>
      <c r="E77" t="s">
        <v>72</v>
      </c>
      <c r="F77" t="s">
        <v>103</v>
      </c>
      <c r="G77" t="s">
        <v>68</v>
      </c>
      <c r="H77">
        <v>17</v>
      </c>
      <c r="I77">
        <v>22.14</v>
      </c>
      <c r="J77">
        <v>376.38</v>
      </c>
      <c r="K77">
        <v>9.36</v>
      </c>
      <c r="L77">
        <v>159.12</v>
      </c>
      <c r="M77">
        <v>217.26</v>
      </c>
      <c r="N77">
        <v>132</v>
      </c>
      <c r="O77">
        <v>20</v>
      </c>
    </row>
    <row r="78" spans="1:15">
      <c r="A78" t="s">
        <v>168</v>
      </c>
      <c r="B78" s="14">
        <v>45566</v>
      </c>
      <c r="C78" t="s">
        <v>96</v>
      </c>
      <c r="D78" t="s">
        <v>97</v>
      </c>
      <c r="E78" t="s">
        <v>67</v>
      </c>
      <c r="F78" t="s">
        <v>119</v>
      </c>
      <c r="G78" t="s">
        <v>68</v>
      </c>
      <c r="H78">
        <v>16</v>
      </c>
      <c r="I78">
        <v>187.07</v>
      </c>
      <c r="J78">
        <v>2993.12</v>
      </c>
      <c r="K78">
        <v>103.94</v>
      </c>
      <c r="L78">
        <v>1663.04</v>
      </c>
      <c r="M78">
        <v>1330.08</v>
      </c>
      <c r="N78">
        <v>52</v>
      </c>
      <c r="O78">
        <v>20</v>
      </c>
    </row>
    <row r="79" spans="1:15">
      <c r="A79" t="s">
        <v>169</v>
      </c>
      <c r="B79" s="14">
        <v>45450</v>
      </c>
      <c r="C79" t="s">
        <v>59</v>
      </c>
      <c r="D79" t="s">
        <v>60</v>
      </c>
      <c r="E79" t="s">
        <v>61</v>
      </c>
      <c r="G79" t="s">
        <v>99</v>
      </c>
      <c r="H79">
        <v>17</v>
      </c>
      <c r="I79">
        <v>180.61</v>
      </c>
      <c r="J79">
        <v>3070.37</v>
      </c>
      <c r="K79">
        <v>105.4</v>
      </c>
      <c r="L79">
        <v>1791.8</v>
      </c>
      <c r="M79">
        <v>1278.57</v>
      </c>
      <c r="N79">
        <v>51</v>
      </c>
      <c r="O79">
        <v>20</v>
      </c>
    </row>
    <row r="80" spans="1:15">
      <c r="A80" t="s">
        <v>170</v>
      </c>
      <c r="B80" s="14">
        <v>45583</v>
      </c>
      <c r="C80" t="s">
        <v>78</v>
      </c>
      <c r="D80" t="s">
        <v>79</v>
      </c>
      <c r="E80" t="s">
        <v>72</v>
      </c>
      <c r="F80" t="s">
        <v>73</v>
      </c>
      <c r="G80" t="s">
        <v>68</v>
      </c>
      <c r="H80">
        <v>15</v>
      </c>
      <c r="I80">
        <v>118.36</v>
      </c>
      <c r="J80">
        <v>1775.4</v>
      </c>
      <c r="K80">
        <v>49.19</v>
      </c>
      <c r="L80">
        <v>737.85</v>
      </c>
      <c r="M80">
        <v>1037.55</v>
      </c>
      <c r="N80">
        <v>23</v>
      </c>
      <c r="O80">
        <v>30</v>
      </c>
    </row>
    <row r="81" spans="1:15">
      <c r="A81" t="s">
        <v>171</v>
      </c>
      <c r="B81" s="14">
        <v>45381</v>
      </c>
      <c r="C81" t="s">
        <v>96</v>
      </c>
      <c r="D81" t="s">
        <v>97</v>
      </c>
      <c r="E81" t="s">
        <v>67</v>
      </c>
      <c r="F81" t="s">
        <v>128</v>
      </c>
      <c r="G81" t="s">
        <v>88</v>
      </c>
      <c r="H81">
        <v>8</v>
      </c>
      <c r="I81">
        <v>49</v>
      </c>
      <c r="J81">
        <v>392</v>
      </c>
      <c r="K81">
        <v>31.71</v>
      </c>
      <c r="L81">
        <v>253.68</v>
      </c>
      <c r="M81">
        <v>138.32</v>
      </c>
      <c r="N81">
        <v>110</v>
      </c>
      <c r="O81">
        <v>30</v>
      </c>
    </row>
    <row r="82" spans="1:15">
      <c r="A82" t="s">
        <v>172</v>
      </c>
      <c r="B82" s="14">
        <v>45414</v>
      </c>
      <c r="C82" t="s">
        <v>111</v>
      </c>
      <c r="D82" t="s">
        <v>112</v>
      </c>
      <c r="E82" t="s">
        <v>67</v>
      </c>
      <c r="F82" t="s">
        <v>119</v>
      </c>
      <c r="G82" t="s">
        <v>99</v>
      </c>
      <c r="H82">
        <v>9</v>
      </c>
      <c r="I82">
        <v>221.23</v>
      </c>
      <c r="J82">
        <v>1991.07</v>
      </c>
      <c r="K82">
        <v>136.08000000000001</v>
      </c>
      <c r="L82">
        <v>1224.72</v>
      </c>
      <c r="M82">
        <v>766.35</v>
      </c>
      <c r="N82">
        <v>170</v>
      </c>
      <c r="O82">
        <v>20</v>
      </c>
    </row>
    <row r="83" spans="1:15">
      <c r="A83" t="s">
        <v>173</v>
      </c>
      <c r="B83" s="14">
        <v>45345</v>
      </c>
      <c r="C83" t="s">
        <v>84</v>
      </c>
      <c r="D83" t="s">
        <v>85</v>
      </c>
      <c r="E83" t="s">
        <v>86</v>
      </c>
      <c r="G83" t="s">
        <v>63</v>
      </c>
      <c r="H83">
        <v>14</v>
      </c>
      <c r="I83">
        <v>115.48</v>
      </c>
      <c r="J83">
        <v>1616.72</v>
      </c>
      <c r="K83">
        <v>57.87</v>
      </c>
      <c r="L83">
        <v>810.18</v>
      </c>
      <c r="M83">
        <v>806.54</v>
      </c>
      <c r="N83">
        <v>129</v>
      </c>
      <c r="O83">
        <v>20</v>
      </c>
    </row>
    <row r="84" spans="1:15">
      <c r="A84" t="s">
        <v>174</v>
      </c>
      <c r="B84" s="14">
        <v>45496</v>
      </c>
      <c r="C84" t="s">
        <v>59</v>
      </c>
      <c r="D84" t="s">
        <v>60</v>
      </c>
      <c r="E84" t="s">
        <v>61</v>
      </c>
      <c r="F84" t="s">
        <v>76</v>
      </c>
      <c r="G84" t="s">
        <v>88</v>
      </c>
      <c r="H84">
        <v>13</v>
      </c>
      <c r="I84">
        <v>14.25</v>
      </c>
      <c r="K84">
        <v>7.13</v>
      </c>
      <c r="L84">
        <v>92.69</v>
      </c>
      <c r="M84">
        <v>92.56</v>
      </c>
      <c r="N84">
        <v>181</v>
      </c>
      <c r="O84">
        <v>20</v>
      </c>
    </row>
    <row r="85" spans="1:15">
      <c r="A85" t="s">
        <v>175</v>
      </c>
      <c r="B85" s="14">
        <v>45416</v>
      </c>
      <c r="C85" t="s">
        <v>78</v>
      </c>
      <c r="D85" t="s">
        <v>79</v>
      </c>
      <c r="E85" t="s">
        <v>72</v>
      </c>
      <c r="G85" t="s">
        <v>92</v>
      </c>
      <c r="H85">
        <v>5</v>
      </c>
      <c r="I85">
        <v>120.34</v>
      </c>
      <c r="J85">
        <v>601.70000000000005</v>
      </c>
      <c r="K85">
        <v>61.57</v>
      </c>
      <c r="L85">
        <v>307.85000000000002</v>
      </c>
      <c r="M85">
        <v>293.85000000000002</v>
      </c>
      <c r="N85">
        <v>41</v>
      </c>
      <c r="O85">
        <v>20</v>
      </c>
    </row>
    <row r="86" spans="1:15">
      <c r="A86" t="s">
        <v>176</v>
      </c>
      <c r="B86" s="14">
        <v>45331</v>
      </c>
      <c r="C86" t="s">
        <v>65</v>
      </c>
      <c r="D86" t="s">
        <v>66</v>
      </c>
      <c r="E86" t="s">
        <v>67</v>
      </c>
      <c r="F86" t="s">
        <v>62</v>
      </c>
      <c r="G86" t="s">
        <v>88</v>
      </c>
      <c r="H86">
        <v>9</v>
      </c>
      <c r="I86">
        <v>42.61</v>
      </c>
      <c r="K86">
        <v>23.15</v>
      </c>
      <c r="L86">
        <v>208.35</v>
      </c>
      <c r="M86">
        <v>175.14</v>
      </c>
      <c r="N86">
        <v>55</v>
      </c>
      <c r="O86">
        <v>50</v>
      </c>
    </row>
    <row r="87" spans="1:15">
      <c r="A87" t="s">
        <v>177</v>
      </c>
      <c r="B87" s="14">
        <v>45559</v>
      </c>
      <c r="C87" t="s">
        <v>90</v>
      </c>
      <c r="D87" t="s">
        <v>91</v>
      </c>
      <c r="E87" t="s">
        <v>72</v>
      </c>
      <c r="F87" t="s">
        <v>62</v>
      </c>
      <c r="G87" t="s">
        <v>99</v>
      </c>
      <c r="H87">
        <v>13</v>
      </c>
      <c r="I87">
        <v>174.13</v>
      </c>
      <c r="J87">
        <v>2263.69</v>
      </c>
      <c r="K87">
        <v>100.58</v>
      </c>
      <c r="L87">
        <v>1307.54</v>
      </c>
      <c r="M87">
        <v>956.15</v>
      </c>
      <c r="N87">
        <v>153</v>
      </c>
      <c r="O87">
        <v>20</v>
      </c>
    </row>
    <row r="88" spans="1:15">
      <c r="A88" t="s">
        <v>178</v>
      </c>
      <c r="B88" s="14">
        <v>45338</v>
      </c>
      <c r="C88" t="s">
        <v>65</v>
      </c>
      <c r="D88" t="s">
        <v>66</v>
      </c>
      <c r="E88" t="s">
        <v>67</v>
      </c>
      <c r="F88" t="s">
        <v>106</v>
      </c>
      <c r="H88">
        <v>14</v>
      </c>
      <c r="I88">
        <v>11.85</v>
      </c>
      <c r="J88">
        <v>165.9</v>
      </c>
      <c r="K88">
        <v>4.8099999999999996</v>
      </c>
      <c r="L88">
        <v>67.34</v>
      </c>
      <c r="M88">
        <v>98.56</v>
      </c>
      <c r="N88">
        <v>49</v>
      </c>
      <c r="O88">
        <v>50</v>
      </c>
    </row>
    <row r="89" spans="1:15">
      <c r="A89" t="s">
        <v>179</v>
      </c>
      <c r="B89" s="14">
        <v>45377</v>
      </c>
      <c r="C89" t="s">
        <v>65</v>
      </c>
      <c r="D89" t="s">
        <v>66</v>
      </c>
      <c r="E89" t="s">
        <v>67</v>
      </c>
      <c r="F89" t="s">
        <v>119</v>
      </c>
      <c r="G89" t="s">
        <v>92</v>
      </c>
      <c r="H89">
        <v>14</v>
      </c>
      <c r="I89">
        <v>130.56</v>
      </c>
      <c r="J89">
        <v>1827.84</v>
      </c>
      <c r="K89">
        <v>94.82</v>
      </c>
      <c r="L89">
        <v>1327.48</v>
      </c>
      <c r="M89">
        <v>500.36</v>
      </c>
      <c r="N89">
        <v>82</v>
      </c>
      <c r="O89">
        <v>50</v>
      </c>
    </row>
    <row r="90" spans="1:15">
      <c r="A90" t="s">
        <v>180</v>
      </c>
      <c r="B90" s="14">
        <v>45401</v>
      </c>
      <c r="C90" t="s">
        <v>90</v>
      </c>
      <c r="D90" t="s">
        <v>91</v>
      </c>
      <c r="E90" t="s">
        <v>72</v>
      </c>
      <c r="F90" t="s">
        <v>62</v>
      </c>
      <c r="G90" t="s">
        <v>99</v>
      </c>
      <c r="H90">
        <v>12</v>
      </c>
      <c r="I90">
        <v>84.23</v>
      </c>
      <c r="J90">
        <v>1010.76</v>
      </c>
      <c r="K90">
        <v>34.200000000000003</v>
      </c>
      <c r="L90">
        <v>410.4</v>
      </c>
      <c r="M90">
        <v>600.36</v>
      </c>
      <c r="N90">
        <v>167</v>
      </c>
      <c r="O90">
        <v>30</v>
      </c>
    </row>
    <row r="91" spans="1:15">
      <c r="A91" t="s">
        <v>181</v>
      </c>
      <c r="B91" s="14">
        <v>45611</v>
      </c>
      <c r="C91" t="s">
        <v>84</v>
      </c>
      <c r="D91" t="s">
        <v>85</v>
      </c>
      <c r="E91" t="s">
        <v>86</v>
      </c>
      <c r="F91" t="s">
        <v>73</v>
      </c>
      <c r="G91" t="s">
        <v>63</v>
      </c>
      <c r="H91">
        <v>2</v>
      </c>
      <c r="I91">
        <v>21.5</v>
      </c>
      <c r="J91">
        <v>43</v>
      </c>
      <c r="K91">
        <v>10.48</v>
      </c>
      <c r="L91">
        <v>20.96</v>
      </c>
      <c r="M91">
        <v>22.04</v>
      </c>
      <c r="N91">
        <v>77</v>
      </c>
      <c r="O91">
        <v>50</v>
      </c>
    </row>
    <row r="92" spans="1:15">
      <c r="A92" t="s">
        <v>182</v>
      </c>
      <c r="B92" s="14">
        <v>45420</v>
      </c>
      <c r="C92" t="s">
        <v>90</v>
      </c>
      <c r="D92" t="s">
        <v>91</v>
      </c>
      <c r="E92" t="s">
        <v>72</v>
      </c>
      <c r="F92" t="s">
        <v>103</v>
      </c>
      <c r="G92" t="s">
        <v>68</v>
      </c>
      <c r="H92">
        <v>20</v>
      </c>
      <c r="I92">
        <v>84.47</v>
      </c>
      <c r="J92">
        <v>1689.4</v>
      </c>
      <c r="K92">
        <v>55.1</v>
      </c>
      <c r="L92">
        <v>1102</v>
      </c>
      <c r="M92">
        <v>587.4</v>
      </c>
      <c r="N92">
        <v>99</v>
      </c>
      <c r="O92">
        <v>50</v>
      </c>
    </row>
    <row r="93" spans="1:15">
      <c r="A93" t="s">
        <v>183</v>
      </c>
      <c r="B93" s="14">
        <v>45538</v>
      </c>
      <c r="C93" t="s">
        <v>90</v>
      </c>
      <c r="D93" t="s">
        <v>91</v>
      </c>
      <c r="E93" t="s">
        <v>72</v>
      </c>
      <c r="F93" t="s">
        <v>119</v>
      </c>
      <c r="G93" t="s">
        <v>92</v>
      </c>
      <c r="H93">
        <v>11</v>
      </c>
      <c r="I93">
        <v>9.32</v>
      </c>
      <c r="J93">
        <v>102.52</v>
      </c>
      <c r="K93">
        <v>7.13</v>
      </c>
      <c r="L93">
        <v>78.430000000000007</v>
      </c>
      <c r="M93">
        <v>24.09</v>
      </c>
      <c r="N93">
        <v>114</v>
      </c>
      <c r="O93">
        <v>30</v>
      </c>
    </row>
    <row r="94" spans="1:15">
      <c r="A94" t="s">
        <v>184</v>
      </c>
      <c r="B94" s="14">
        <v>45355</v>
      </c>
      <c r="C94" t="s">
        <v>70</v>
      </c>
      <c r="D94" t="s">
        <v>71</v>
      </c>
      <c r="E94" t="s">
        <v>72</v>
      </c>
      <c r="F94" t="s">
        <v>62</v>
      </c>
      <c r="G94" t="s">
        <v>74</v>
      </c>
      <c r="H94">
        <v>8</v>
      </c>
      <c r="I94">
        <v>185.79</v>
      </c>
      <c r="J94">
        <v>1486.32</v>
      </c>
      <c r="K94">
        <v>130.59</v>
      </c>
      <c r="L94">
        <v>1044.72</v>
      </c>
      <c r="M94">
        <v>441.6</v>
      </c>
      <c r="N94">
        <v>158</v>
      </c>
      <c r="O94">
        <v>20</v>
      </c>
    </row>
    <row r="95" spans="1:15">
      <c r="A95" t="s">
        <v>185</v>
      </c>
      <c r="B95" s="14">
        <v>45311</v>
      </c>
      <c r="C95" t="s">
        <v>59</v>
      </c>
      <c r="D95" t="s">
        <v>60</v>
      </c>
      <c r="E95" t="s">
        <v>61</v>
      </c>
      <c r="F95" t="s">
        <v>82</v>
      </c>
      <c r="G95" t="s">
        <v>68</v>
      </c>
      <c r="H95">
        <v>20</v>
      </c>
      <c r="I95">
        <v>247.2</v>
      </c>
      <c r="J95">
        <v>4944</v>
      </c>
      <c r="K95">
        <v>142.76</v>
      </c>
      <c r="L95">
        <v>2855.2</v>
      </c>
      <c r="M95">
        <v>2088.8000000000002</v>
      </c>
      <c r="N95">
        <v>84</v>
      </c>
      <c r="O95">
        <v>20</v>
      </c>
    </row>
    <row r="96" spans="1:15">
      <c r="A96" t="s">
        <v>186</v>
      </c>
      <c r="B96" s="14">
        <v>45439</v>
      </c>
      <c r="C96" t="s">
        <v>65</v>
      </c>
      <c r="D96" t="s">
        <v>66</v>
      </c>
      <c r="E96" t="s">
        <v>67</v>
      </c>
      <c r="F96" t="s">
        <v>62</v>
      </c>
      <c r="G96" t="s">
        <v>88</v>
      </c>
      <c r="H96">
        <v>8</v>
      </c>
      <c r="I96">
        <v>212.5</v>
      </c>
      <c r="J96">
        <v>1700</v>
      </c>
      <c r="K96">
        <v>113.16</v>
      </c>
      <c r="L96">
        <v>905.28</v>
      </c>
      <c r="M96">
        <v>794.72</v>
      </c>
      <c r="N96">
        <v>62</v>
      </c>
      <c r="O96">
        <v>20</v>
      </c>
    </row>
    <row r="97" spans="1:15">
      <c r="A97" t="s">
        <v>187</v>
      </c>
      <c r="B97" s="14">
        <v>45487</v>
      </c>
      <c r="C97" t="s">
        <v>84</v>
      </c>
      <c r="D97" t="s">
        <v>85</v>
      </c>
      <c r="E97" t="s">
        <v>86</v>
      </c>
      <c r="F97" t="s">
        <v>119</v>
      </c>
      <c r="G97" t="s">
        <v>63</v>
      </c>
      <c r="H97">
        <v>6</v>
      </c>
      <c r="I97">
        <v>113.38</v>
      </c>
      <c r="J97">
        <v>680.28</v>
      </c>
      <c r="L97">
        <v>273.77999999999997</v>
      </c>
      <c r="M97">
        <v>406.5</v>
      </c>
      <c r="N97">
        <v>125</v>
      </c>
      <c r="O97">
        <v>20</v>
      </c>
    </row>
    <row r="98" spans="1:15">
      <c r="A98" t="s">
        <v>188</v>
      </c>
      <c r="B98" s="14">
        <v>45595</v>
      </c>
      <c r="C98" t="s">
        <v>59</v>
      </c>
      <c r="D98" t="s">
        <v>60</v>
      </c>
      <c r="E98" t="s">
        <v>61</v>
      </c>
      <c r="F98" t="s">
        <v>103</v>
      </c>
      <c r="G98" t="s">
        <v>88</v>
      </c>
      <c r="H98">
        <v>8</v>
      </c>
      <c r="I98">
        <v>129.32</v>
      </c>
      <c r="J98">
        <v>1034.56</v>
      </c>
      <c r="K98">
        <v>73.78</v>
      </c>
      <c r="L98">
        <v>590.24</v>
      </c>
      <c r="M98">
        <v>444.32</v>
      </c>
      <c r="N98">
        <v>119</v>
      </c>
      <c r="O98">
        <v>30</v>
      </c>
    </row>
    <row r="99" spans="1:15">
      <c r="A99" t="s">
        <v>189</v>
      </c>
      <c r="B99" s="14">
        <v>45587</v>
      </c>
      <c r="C99" t="s">
        <v>78</v>
      </c>
      <c r="D99" t="s">
        <v>79</v>
      </c>
      <c r="E99" t="s">
        <v>72</v>
      </c>
      <c r="F99" t="s">
        <v>128</v>
      </c>
      <c r="G99" t="s">
        <v>99</v>
      </c>
      <c r="H99">
        <v>7</v>
      </c>
      <c r="I99">
        <v>71.61</v>
      </c>
      <c r="J99">
        <v>501.27</v>
      </c>
      <c r="K99">
        <v>51.02</v>
      </c>
      <c r="L99">
        <v>357.14</v>
      </c>
      <c r="M99">
        <v>144.13</v>
      </c>
      <c r="N99">
        <v>20</v>
      </c>
      <c r="O99">
        <v>30</v>
      </c>
    </row>
    <row r="100" spans="1:15">
      <c r="A100" t="s">
        <v>190</v>
      </c>
      <c r="B100" s="14">
        <v>45371</v>
      </c>
      <c r="C100" t="s">
        <v>78</v>
      </c>
      <c r="D100" t="s">
        <v>79</v>
      </c>
      <c r="E100" t="s">
        <v>72</v>
      </c>
      <c r="F100" t="s">
        <v>103</v>
      </c>
      <c r="G100" t="s">
        <v>92</v>
      </c>
      <c r="H100">
        <v>1</v>
      </c>
      <c r="I100">
        <v>191.67</v>
      </c>
      <c r="J100">
        <v>191.67</v>
      </c>
      <c r="K100">
        <v>109.44</v>
      </c>
      <c r="L100">
        <v>109.44</v>
      </c>
      <c r="M100">
        <v>82.23</v>
      </c>
      <c r="N100">
        <v>21</v>
      </c>
      <c r="O100">
        <v>30</v>
      </c>
    </row>
    <row r="101" spans="1:15">
      <c r="A101" t="s">
        <v>191</v>
      </c>
      <c r="B101" s="14">
        <v>45484</v>
      </c>
      <c r="C101" t="s">
        <v>78</v>
      </c>
      <c r="D101" t="s">
        <v>79</v>
      </c>
      <c r="E101" t="s">
        <v>72</v>
      </c>
      <c r="G101" t="s">
        <v>63</v>
      </c>
      <c r="H101">
        <v>3</v>
      </c>
      <c r="I101">
        <v>86.64</v>
      </c>
      <c r="J101">
        <v>259.92</v>
      </c>
      <c r="K101">
        <v>59.43</v>
      </c>
      <c r="L101">
        <v>178.29</v>
      </c>
      <c r="M101">
        <v>81.63</v>
      </c>
      <c r="N101">
        <v>50</v>
      </c>
      <c r="O101">
        <v>20</v>
      </c>
    </row>
    <row r="102" spans="1:15">
      <c r="A102" t="s">
        <v>192</v>
      </c>
      <c r="B102" s="14">
        <v>45504</v>
      </c>
      <c r="C102" t="s">
        <v>96</v>
      </c>
      <c r="D102" t="s">
        <v>97</v>
      </c>
      <c r="E102" t="s">
        <v>67</v>
      </c>
      <c r="F102" t="s">
        <v>128</v>
      </c>
      <c r="G102" t="s">
        <v>63</v>
      </c>
      <c r="H102">
        <v>12</v>
      </c>
      <c r="I102">
        <v>99.09</v>
      </c>
      <c r="J102">
        <v>1189.08</v>
      </c>
      <c r="K102">
        <v>51.84</v>
      </c>
      <c r="L102">
        <v>622.08000000000004</v>
      </c>
      <c r="M102">
        <v>567</v>
      </c>
      <c r="N102">
        <v>150</v>
      </c>
      <c r="O102">
        <v>20</v>
      </c>
    </row>
    <row r="103" spans="1:15">
      <c r="A103" t="s">
        <v>193</v>
      </c>
      <c r="B103" s="14">
        <v>45515</v>
      </c>
      <c r="C103" t="s">
        <v>70</v>
      </c>
      <c r="D103" t="s">
        <v>71</v>
      </c>
      <c r="E103" t="s">
        <v>72</v>
      </c>
      <c r="F103" t="s">
        <v>62</v>
      </c>
      <c r="G103" t="s">
        <v>88</v>
      </c>
      <c r="H103">
        <v>12</v>
      </c>
      <c r="I103">
        <v>129.85</v>
      </c>
      <c r="J103">
        <v>1558.2</v>
      </c>
      <c r="K103">
        <v>77.319999999999993</v>
      </c>
      <c r="L103">
        <v>927.84</v>
      </c>
      <c r="M103">
        <v>630.36</v>
      </c>
      <c r="N103">
        <v>176</v>
      </c>
      <c r="O103">
        <v>30</v>
      </c>
    </row>
    <row r="104" spans="1:15">
      <c r="A104" t="s">
        <v>194</v>
      </c>
      <c r="B104" s="14">
        <v>45477</v>
      </c>
      <c r="C104" t="s">
        <v>65</v>
      </c>
      <c r="D104" t="s">
        <v>66</v>
      </c>
      <c r="E104" t="s">
        <v>67</v>
      </c>
      <c r="F104" t="s">
        <v>82</v>
      </c>
      <c r="G104" t="s">
        <v>74</v>
      </c>
      <c r="H104">
        <v>5</v>
      </c>
      <c r="I104">
        <v>69.03</v>
      </c>
      <c r="J104">
        <v>345.15</v>
      </c>
      <c r="L104">
        <v>200.95</v>
      </c>
      <c r="M104">
        <v>144.19999999999999</v>
      </c>
      <c r="N104">
        <v>174</v>
      </c>
      <c r="O104">
        <v>20</v>
      </c>
    </row>
    <row r="105" spans="1:15">
      <c r="A105" t="s">
        <v>195</v>
      </c>
      <c r="B105" s="14">
        <v>45339</v>
      </c>
      <c r="C105" t="s">
        <v>96</v>
      </c>
      <c r="D105" t="s">
        <v>97</v>
      </c>
      <c r="E105" t="s">
        <v>67</v>
      </c>
      <c r="F105" t="s">
        <v>119</v>
      </c>
      <c r="G105" t="s">
        <v>99</v>
      </c>
      <c r="H105">
        <v>13</v>
      </c>
      <c r="I105">
        <v>177.99</v>
      </c>
      <c r="J105">
        <v>2313.87</v>
      </c>
      <c r="K105">
        <v>140.55000000000001</v>
      </c>
      <c r="L105">
        <v>1827.15</v>
      </c>
      <c r="M105">
        <v>486.72</v>
      </c>
      <c r="N105">
        <v>20</v>
      </c>
      <c r="O105">
        <v>50</v>
      </c>
    </row>
    <row r="106" spans="1:15">
      <c r="A106" t="s">
        <v>196</v>
      </c>
      <c r="B106" s="14">
        <v>45564</v>
      </c>
      <c r="C106" t="s">
        <v>96</v>
      </c>
      <c r="D106" t="s">
        <v>97</v>
      </c>
      <c r="E106" t="s">
        <v>67</v>
      </c>
      <c r="F106" t="s">
        <v>106</v>
      </c>
      <c r="G106" t="s">
        <v>88</v>
      </c>
      <c r="H106">
        <v>19</v>
      </c>
      <c r="I106">
        <v>80.45</v>
      </c>
      <c r="J106">
        <v>1528.55</v>
      </c>
      <c r="K106">
        <v>45.43</v>
      </c>
      <c r="L106">
        <v>863.17</v>
      </c>
      <c r="M106">
        <v>665.38</v>
      </c>
      <c r="N106">
        <v>186</v>
      </c>
      <c r="O106">
        <v>20</v>
      </c>
    </row>
    <row r="107" spans="1:15">
      <c r="A107" t="s">
        <v>197</v>
      </c>
      <c r="B107" s="14">
        <v>45399</v>
      </c>
      <c r="C107" t="s">
        <v>96</v>
      </c>
      <c r="D107" t="s">
        <v>97</v>
      </c>
      <c r="E107" t="s">
        <v>67</v>
      </c>
      <c r="F107" t="s">
        <v>106</v>
      </c>
      <c r="G107" t="s">
        <v>63</v>
      </c>
      <c r="H107">
        <v>10</v>
      </c>
      <c r="I107">
        <v>6.57</v>
      </c>
      <c r="J107">
        <v>65.7</v>
      </c>
      <c r="K107">
        <v>3.07</v>
      </c>
      <c r="L107">
        <v>30.7</v>
      </c>
      <c r="M107">
        <v>35</v>
      </c>
      <c r="N107">
        <v>125</v>
      </c>
      <c r="O107">
        <v>20</v>
      </c>
    </row>
    <row r="108" spans="1:15">
      <c r="A108" t="s">
        <v>198</v>
      </c>
      <c r="B108" s="14">
        <v>45512</v>
      </c>
      <c r="C108" t="s">
        <v>111</v>
      </c>
      <c r="D108" t="s">
        <v>112</v>
      </c>
      <c r="E108" t="s">
        <v>67</v>
      </c>
      <c r="F108" t="s">
        <v>103</v>
      </c>
      <c r="G108" t="s">
        <v>92</v>
      </c>
      <c r="H108">
        <v>6</v>
      </c>
      <c r="I108">
        <v>96.79</v>
      </c>
      <c r="J108">
        <v>580.74</v>
      </c>
      <c r="K108">
        <v>65.97</v>
      </c>
      <c r="L108">
        <v>395.82</v>
      </c>
      <c r="M108">
        <v>184.92</v>
      </c>
      <c r="N108">
        <v>50</v>
      </c>
      <c r="O108">
        <v>30</v>
      </c>
    </row>
    <row r="109" spans="1:15">
      <c r="A109" t="s">
        <v>199</v>
      </c>
      <c r="B109" s="14">
        <v>45322</v>
      </c>
      <c r="C109" t="s">
        <v>111</v>
      </c>
      <c r="D109" t="s">
        <v>112</v>
      </c>
      <c r="E109" t="s">
        <v>67</v>
      </c>
      <c r="F109" t="s">
        <v>106</v>
      </c>
      <c r="G109" t="s">
        <v>88</v>
      </c>
      <c r="H109">
        <v>7</v>
      </c>
      <c r="I109">
        <v>68.540000000000006</v>
      </c>
      <c r="J109">
        <v>479.78</v>
      </c>
      <c r="K109">
        <v>52.15</v>
      </c>
      <c r="L109">
        <v>365.05</v>
      </c>
      <c r="M109">
        <v>114.73</v>
      </c>
      <c r="N109">
        <v>104</v>
      </c>
      <c r="O109">
        <v>30</v>
      </c>
    </row>
    <row r="110" spans="1:15">
      <c r="A110" t="s">
        <v>200</v>
      </c>
      <c r="B110" s="14">
        <v>45467</v>
      </c>
      <c r="C110" t="s">
        <v>65</v>
      </c>
      <c r="D110" t="s">
        <v>66</v>
      </c>
      <c r="E110" t="s">
        <v>67</v>
      </c>
      <c r="F110" t="s">
        <v>62</v>
      </c>
      <c r="G110" t="s">
        <v>63</v>
      </c>
      <c r="H110">
        <v>19</v>
      </c>
      <c r="I110">
        <v>62.52</v>
      </c>
      <c r="J110">
        <v>1187.8800000000001</v>
      </c>
      <c r="K110">
        <v>37.14</v>
      </c>
      <c r="L110">
        <v>705.66</v>
      </c>
      <c r="M110">
        <v>482.22</v>
      </c>
      <c r="N110">
        <v>194</v>
      </c>
      <c r="O110">
        <v>20</v>
      </c>
    </row>
    <row r="111" spans="1:15">
      <c r="A111" t="s">
        <v>201</v>
      </c>
      <c r="B111" s="14">
        <v>45313</v>
      </c>
      <c r="C111" t="s">
        <v>90</v>
      </c>
      <c r="D111" t="s">
        <v>91</v>
      </c>
      <c r="E111" t="s">
        <v>72</v>
      </c>
      <c r="F111" t="s">
        <v>82</v>
      </c>
      <c r="G111" t="s">
        <v>99</v>
      </c>
      <c r="H111">
        <v>7</v>
      </c>
      <c r="I111">
        <v>132.97</v>
      </c>
      <c r="J111">
        <v>930.79</v>
      </c>
      <c r="K111">
        <v>53.57</v>
      </c>
      <c r="L111">
        <v>374.99</v>
      </c>
      <c r="M111">
        <v>555.79999999999995</v>
      </c>
      <c r="N111">
        <v>154</v>
      </c>
      <c r="O111">
        <v>50</v>
      </c>
    </row>
    <row r="112" spans="1:15">
      <c r="A112" t="s">
        <v>202</v>
      </c>
      <c r="B112" s="14">
        <v>45467</v>
      </c>
      <c r="C112" t="s">
        <v>84</v>
      </c>
      <c r="D112" t="s">
        <v>85</v>
      </c>
      <c r="E112" t="s">
        <v>86</v>
      </c>
      <c r="F112" t="s">
        <v>62</v>
      </c>
      <c r="G112" t="s">
        <v>68</v>
      </c>
      <c r="H112">
        <v>8</v>
      </c>
      <c r="I112">
        <v>235.54</v>
      </c>
      <c r="K112">
        <v>156.88</v>
      </c>
      <c r="L112">
        <v>1255.04</v>
      </c>
      <c r="M112">
        <v>629.28</v>
      </c>
      <c r="N112">
        <v>96</v>
      </c>
      <c r="O112">
        <v>50</v>
      </c>
    </row>
    <row r="113" spans="1:15">
      <c r="A113" t="s">
        <v>203</v>
      </c>
      <c r="B113" s="14">
        <v>45497</v>
      </c>
      <c r="C113" t="s">
        <v>111</v>
      </c>
      <c r="D113" t="s">
        <v>112</v>
      </c>
      <c r="E113" t="s">
        <v>67</v>
      </c>
      <c r="F113" t="s">
        <v>119</v>
      </c>
      <c r="G113" t="s">
        <v>68</v>
      </c>
      <c r="H113">
        <v>1</v>
      </c>
      <c r="I113">
        <v>152.47</v>
      </c>
      <c r="J113">
        <v>152.47</v>
      </c>
      <c r="K113">
        <v>113.99</v>
      </c>
      <c r="L113">
        <v>113.99</v>
      </c>
      <c r="M113">
        <v>38.479999999999997</v>
      </c>
      <c r="N113">
        <v>71</v>
      </c>
      <c r="O113">
        <v>50</v>
      </c>
    </row>
    <row r="114" spans="1:15">
      <c r="A114" t="s">
        <v>204</v>
      </c>
      <c r="B114" s="14">
        <v>45388</v>
      </c>
      <c r="C114" t="s">
        <v>65</v>
      </c>
      <c r="D114" t="s">
        <v>66</v>
      </c>
      <c r="E114" t="s">
        <v>67</v>
      </c>
      <c r="F114" t="s">
        <v>76</v>
      </c>
      <c r="G114" t="s">
        <v>88</v>
      </c>
      <c r="H114">
        <v>11</v>
      </c>
      <c r="I114">
        <v>9.07</v>
      </c>
      <c r="J114">
        <v>99.77</v>
      </c>
      <c r="K114">
        <v>4.93</v>
      </c>
      <c r="L114">
        <v>54.23</v>
      </c>
      <c r="M114">
        <v>45.54</v>
      </c>
      <c r="N114">
        <v>11</v>
      </c>
      <c r="O114">
        <v>50</v>
      </c>
    </row>
    <row r="115" spans="1:15">
      <c r="A115" t="s">
        <v>205</v>
      </c>
      <c r="B115" s="14">
        <v>45333</v>
      </c>
      <c r="C115" t="s">
        <v>84</v>
      </c>
      <c r="D115" t="s">
        <v>85</v>
      </c>
      <c r="E115" t="s">
        <v>86</v>
      </c>
      <c r="F115" t="s">
        <v>106</v>
      </c>
      <c r="G115" t="s">
        <v>88</v>
      </c>
      <c r="H115">
        <v>14</v>
      </c>
      <c r="I115">
        <v>235.08</v>
      </c>
      <c r="J115">
        <v>3291.12</v>
      </c>
      <c r="K115">
        <v>182.56</v>
      </c>
      <c r="L115">
        <v>2555.84</v>
      </c>
      <c r="M115">
        <v>735.28</v>
      </c>
      <c r="N115">
        <v>121</v>
      </c>
      <c r="O115">
        <v>50</v>
      </c>
    </row>
    <row r="116" spans="1:15">
      <c r="A116" t="s">
        <v>206</v>
      </c>
      <c r="B116" s="14">
        <v>45584</v>
      </c>
      <c r="C116" t="s">
        <v>65</v>
      </c>
      <c r="D116" t="s">
        <v>66</v>
      </c>
      <c r="E116" t="s">
        <v>67</v>
      </c>
      <c r="F116" t="s">
        <v>73</v>
      </c>
      <c r="G116" t="s">
        <v>74</v>
      </c>
      <c r="H116">
        <v>5</v>
      </c>
      <c r="I116">
        <v>126.99</v>
      </c>
      <c r="J116">
        <v>634.95000000000005</v>
      </c>
      <c r="K116">
        <v>55.22</v>
      </c>
      <c r="L116">
        <v>276.10000000000002</v>
      </c>
      <c r="M116">
        <v>358.85</v>
      </c>
      <c r="N116">
        <v>172</v>
      </c>
      <c r="O116">
        <v>50</v>
      </c>
    </row>
    <row r="117" spans="1:15">
      <c r="A117" t="s">
        <v>207</v>
      </c>
      <c r="B117" s="14">
        <v>45416</v>
      </c>
      <c r="C117" t="s">
        <v>59</v>
      </c>
      <c r="D117" t="s">
        <v>60</v>
      </c>
      <c r="E117" t="s">
        <v>61</v>
      </c>
      <c r="G117" t="s">
        <v>88</v>
      </c>
      <c r="H117">
        <v>6</v>
      </c>
      <c r="I117">
        <v>189.55</v>
      </c>
      <c r="J117">
        <v>1137.3</v>
      </c>
      <c r="K117">
        <v>125.84</v>
      </c>
      <c r="L117">
        <v>755.04</v>
      </c>
      <c r="M117">
        <v>382.26</v>
      </c>
      <c r="N117">
        <v>22</v>
      </c>
      <c r="O117">
        <v>20</v>
      </c>
    </row>
    <row r="118" spans="1:15">
      <c r="A118" t="s">
        <v>208</v>
      </c>
      <c r="B118" s="14">
        <v>45435</v>
      </c>
      <c r="C118" t="s">
        <v>59</v>
      </c>
      <c r="D118" t="s">
        <v>60</v>
      </c>
      <c r="E118" t="s">
        <v>61</v>
      </c>
      <c r="F118" t="s">
        <v>103</v>
      </c>
      <c r="G118" t="s">
        <v>92</v>
      </c>
      <c r="H118">
        <v>9</v>
      </c>
      <c r="I118">
        <v>168.15</v>
      </c>
      <c r="J118">
        <v>1513.35</v>
      </c>
      <c r="K118">
        <v>131.26</v>
      </c>
      <c r="L118">
        <v>1181.3399999999999</v>
      </c>
      <c r="M118">
        <v>332.01</v>
      </c>
      <c r="N118">
        <v>171</v>
      </c>
      <c r="O118">
        <v>20</v>
      </c>
    </row>
    <row r="119" spans="1:15">
      <c r="A119" t="s">
        <v>209</v>
      </c>
      <c r="B119" s="14">
        <v>45406</v>
      </c>
      <c r="C119" t="s">
        <v>90</v>
      </c>
      <c r="D119" t="s">
        <v>91</v>
      </c>
      <c r="E119" t="s">
        <v>72</v>
      </c>
      <c r="F119" t="s">
        <v>128</v>
      </c>
      <c r="G119" t="s">
        <v>88</v>
      </c>
      <c r="H119">
        <v>11</v>
      </c>
      <c r="I119">
        <v>97.37</v>
      </c>
      <c r="J119">
        <v>1071.07</v>
      </c>
      <c r="K119">
        <v>66.89</v>
      </c>
      <c r="L119">
        <v>735.79</v>
      </c>
      <c r="M119">
        <v>335.28</v>
      </c>
      <c r="N119">
        <v>188</v>
      </c>
      <c r="O119">
        <v>50</v>
      </c>
    </row>
    <row r="120" spans="1:15">
      <c r="A120" t="s">
        <v>210</v>
      </c>
      <c r="B120" s="14">
        <v>45406</v>
      </c>
      <c r="C120" t="s">
        <v>70</v>
      </c>
      <c r="D120" t="s">
        <v>71</v>
      </c>
      <c r="E120" t="s">
        <v>72</v>
      </c>
      <c r="F120" t="s">
        <v>119</v>
      </c>
      <c r="G120" t="s">
        <v>88</v>
      </c>
      <c r="H120">
        <v>4</v>
      </c>
      <c r="I120">
        <v>76.290000000000006</v>
      </c>
      <c r="J120">
        <v>305.16000000000003</v>
      </c>
      <c r="K120">
        <v>33.909999999999997</v>
      </c>
      <c r="L120">
        <v>135.63999999999999</v>
      </c>
      <c r="M120">
        <v>169.52</v>
      </c>
      <c r="N120">
        <v>87</v>
      </c>
      <c r="O120">
        <v>50</v>
      </c>
    </row>
    <row r="121" spans="1:15">
      <c r="A121" t="s">
        <v>211</v>
      </c>
      <c r="B121" s="14">
        <v>45486</v>
      </c>
      <c r="C121" t="s">
        <v>65</v>
      </c>
      <c r="D121" t="s">
        <v>66</v>
      </c>
      <c r="E121" t="s">
        <v>67</v>
      </c>
      <c r="F121" t="s">
        <v>76</v>
      </c>
      <c r="G121" t="s">
        <v>68</v>
      </c>
      <c r="H121">
        <v>10</v>
      </c>
      <c r="I121">
        <v>20.16</v>
      </c>
      <c r="J121">
        <v>201.6</v>
      </c>
      <c r="K121">
        <v>12.38</v>
      </c>
      <c r="L121">
        <v>123.8</v>
      </c>
      <c r="M121">
        <v>77.8</v>
      </c>
      <c r="N121">
        <v>99</v>
      </c>
      <c r="O121">
        <v>30</v>
      </c>
    </row>
    <row r="122" spans="1:15">
      <c r="A122" t="s">
        <v>212</v>
      </c>
      <c r="B122" s="14">
        <v>45594</v>
      </c>
      <c r="C122" t="s">
        <v>59</v>
      </c>
      <c r="D122" t="s">
        <v>60</v>
      </c>
      <c r="E122" t="s">
        <v>61</v>
      </c>
      <c r="F122" t="s">
        <v>103</v>
      </c>
      <c r="G122" t="s">
        <v>68</v>
      </c>
      <c r="H122">
        <v>4</v>
      </c>
      <c r="I122">
        <v>101.85</v>
      </c>
      <c r="J122">
        <v>407.4</v>
      </c>
      <c r="K122">
        <v>62.67</v>
      </c>
      <c r="L122">
        <v>250.68</v>
      </c>
      <c r="M122">
        <v>156.72</v>
      </c>
      <c r="N122">
        <v>117</v>
      </c>
      <c r="O122">
        <v>30</v>
      </c>
    </row>
    <row r="123" spans="1:15">
      <c r="A123" t="s">
        <v>213</v>
      </c>
      <c r="B123" s="14">
        <v>45366</v>
      </c>
      <c r="C123" t="s">
        <v>65</v>
      </c>
      <c r="D123" t="s">
        <v>66</v>
      </c>
      <c r="E123" t="s">
        <v>67</v>
      </c>
      <c r="F123" t="s">
        <v>82</v>
      </c>
      <c r="G123" t="s">
        <v>88</v>
      </c>
      <c r="H123">
        <v>20</v>
      </c>
      <c r="I123">
        <v>83.43</v>
      </c>
      <c r="J123">
        <v>1668.6</v>
      </c>
      <c r="K123">
        <v>50.14</v>
      </c>
      <c r="L123">
        <v>1002.8</v>
      </c>
      <c r="M123">
        <v>665.8</v>
      </c>
      <c r="N123">
        <v>176</v>
      </c>
      <c r="O123">
        <v>20</v>
      </c>
    </row>
    <row r="124" spans="1:15">
      <c r="A124" t="s">
        <v>214</v>
      </c>
      <c r="B124" s="14">
        <v>45484</v>
      </c>
      <c r="C124" t="s">
        <v>65</v>
      </c>
      <c r="D124" t="s">
        <v>66</v>
      </c>
      <c r="E124" t="s">
        <v>67</v>
      </c>
      <c r="F124" t="s">
        <v>62</v>
      </c>
      <c r="G124" t="s">
        <v>74</v>
      </c>
      <c r="H124">
        <v>11</v>
      </c>
      <c r="I124">
        <v>42.41</v>
      </c>
      <c r="J124">
        <v>466.51</v>
      </c>
      <c r="K124">
        <v>29.12</v>
      </c>
      <c r="L124">
        <v>320.32</v>
      </c>
      <c r="M124">
        <v>146.19</v>
      </c>
      <c r="N124">
        <v>187</v>
      </c>
      <c r="O124">
        <v>20</v>
      </c>
    </row>
    <row r="125" spans="1:15">
      <c r="A125" t="s">
        <v>215</v>
      </c>
      <c r="B125" s="14">
        <v>45373</v>
      </c>
      <c r="C125" t="s">
        <v>65</v>
      </c>
      <c r="D125" t="s">
        <v>66</v>
      </c>
      <c r="E125" t="s">
        <v>67</v>
      </c>
      <c r="G125" t="s">
        <v>99</v>
      </c>
      <c r="H125">
        <v>18</v>
      </c>
      <c r="I125">
        <v>101.11</v>
      </c>
      <c r="J125">
        <v>1819.98</v>
      </c>
      <c r="K125">
        <v>57.53</v>
      </c>
      <c r="L125">
        <v>1035.54</v>
      </c>
      <c r="M125">
        <v>784.44</v>
      </c>
      <c r="N125">
        <v>121</v>
      </c>
      <c r="O125">
        <v>30</v>
      </c>
    </row>
    <row r="126" spans="1:15">
      <c r="A126" t="s">
        <v>216</v>
      </c>
      <c r="B126" s="14">
        <v>45572</v>
      </c>
      <c r="C126" t="s">
        <v>96</v>
      </c>
      <c r="D126" t="s">
        <v>97</v>
      </c>
      <c r="E126" t="s">
        <v>67</v>
      </c>
      <c r="F126" t="s">
        <v>82</v>
      </c>
      <c r="G126" t="s">
        <v>99</v>
      </c>
      <c r="H126">
        <v>4</v>
      </c>
      <c r="I126">
        <v>37.07</v>
      </c>
      <c r="J126">
        <v>148.28</v>
      </c>
      <c r="K126">
        <v>25.98</v>
      </c>
      <c r="L126">
        <v>103.92</v>
      </c>
      <c r="M126">
        <v>44.36</v>
      </c>
      <c r="N126">
        <v>148</v>
      </c>
      <c r="O126">
        <v>20</v>
      </c>
    </row>
    <row r="127" spans="1:15">
      <c r="A127" t="s">
        <v>217</v>
      </c>
      <c r="B127" s="14">
        <v>45366</v>
      </c>
      <c r="C127" t="s">
        <v>59</v>
      </c>
      <c r="D127" t="s">
        <v>60</v>
      </c>
      <c r="E127" t="s">
        <v>61</v>
      </c>
      <c r="F127" t="s">
        <v>76</v>
      </c>
      <c r="H127">
        <v>7</v>
      </c>
      <c r="I127">
        <v>202.07</v>
      </c>
      <c r="J127">
        <v>1414.49</v>
      </c>
      <c r="K127">
        <v>96.64</v>
      </c>
      <c r="L127">
        <v>676.48</v>
      </c>
      <c r="M127">
        <v>738.01</v>
      </c>
      <c r="N127">
        <v>166</v>
      </c>
      <c r="O127">
        <v>20</v>
      </c>
    </row>
    <row r="128" spans="1:15">
      <c r="A128" t="s">
        <v>218</v>
      </c>
      <c r="B128" s="14">
        <v>45484</v>
      </c>
      <c r="C128" t="s">
        <v>96</v>
      </c>
      <c r="D128" t="s">
        <v>97</v>
      </c>
      <c r="E128" t="s">
        <v>67</v>
      </c>
      <c r="F128" t="s">
        <v>62</v>
      </c>
      <c r="G128" t="s">
        <v>63</v>
      </c>
      <c r="H128">
        <v>6</v>
      </c>
      <c r="I128">
        <v>231.87</v>
      </c>
      <c r="J128">
        <v>1391.22</v>
      </c>
      <c r="K128">
        <v>101.66</v>
      </c>
      <c r="L128">
        <v>609.96</v>
      </c>
      <c r="M128">
        <v>781.26</v>
      </c>
      <c r="N128">
        <v>121</v>
      </c>
      <c r="O128">
        <v>20</v>
      </c>
    </row>
    <row r="129" spans="1:15">
      <c r="A129" t="s">
        <v>219</v>
      </c>
      <c r="B129" s="14">
        <v>45613</v>
      </c>
      <c r="C129" t="s">
        <v>96</v>
      </c>
      <c r="D129" t="s">
        <v>97</v>
      </c>
      <c r="E129" t="s">
        <v>67</v>
      </c>
      <c r="F129" t="s">
        <v>103</v>
      </c>
      <c r="G129" t="s">
        <v>88</v>
      </c>
      <c r="H129">
        <v>8</v>
      </c>
      <c r="I129">
        <v>13.33</v>
      </c>
      <c r="J129">
        <v>106.64</v>
      </c>
      <c r="K129">
        <v>6.62</v>
      </c>
      <c r="L129">
        <v>52.96</v>
      </c>
      <c r="M129">
        <v>53.68</v>
      </c>
      <c r="N129">
        <v>125</v>
      </c>
      <c r="O129">
        <v>30</v>
      </c>
    </row>
    <row r="130" spans="1:15">
      <c r="A130" t="s">
        <v>220</v>
      </c>
      <c r="B130" s="14">
        <v>45337</v>
      </c>
      <c r="C130" t="s">
        <v>78</v>
      </c>
      <c r="D130" t="s">
        <v>79</v>
      </c>
      <c r="E130" t="s">
        <v>72</v>
      </c>
      <c r="G130" t="s">
        <v>63</v>
      </c>
      <c r="H130">
        <v>13</v>
      </c>
      <c r="I130">
        <v>72.430000000000007</v>
      </c>
      <c r="J130">
        <v>941.59</v>
      </c>
      <c r="K130">
        <v>47.9</v>
      </c>
      <c r="L130">
        <v>622.70000000000005</v>
      </c>
      <c r="M130">
        <v>318.89</v>
      </c>
      <c r="N130">
        <v>94</v>
      </c>
      <c r="O130">
        <v>20</v>
      </c>
    </row>
    <row r="131" spans="1:15">
      <c r="A131" t="s">
        <v>221</v>
      </c>
      <c r="B131" s="14">
        <v>45303</v>
      </c>
      <c r="C131" t="s">
        <v>78</v>
      </c>
      <c r="D131" t="s">
        <v>79</v>
      </c>
      <c r="E131" t="s">
        <v>72</v>
      </c>
      <c r="F131" t="s">
        <v>128</v>
      </c>
      <c r="G131" t="s">
        <v>99</v>
      </c>
      <c r="H131">
        <v>9</v>
      </c>
      <c r="I131">
        <v>174.96</v>
      </c>
      <c r="J131">
        <v>1574.64</v>
      </c>
      <c r="K131">
        <v>76.599999999999994</v>
      </c>
      <c r="L131">
        <v>689.4</v>
      </c>
      <c r="M131">
        <v>885.24</v>
      </c>
      <c r="N131">
        <v>151</v>
      </c>
      <c r="O131">
        <v>20</v>
      </c>
    </row>
    <row r="132" spans="1:15">
      <c r="A132" t="s">
        <v>222</v>
      </c>
      <c r="B132" s="14">
        <v>45458</v>
      </c>
      <c r="C132" t="s">
        <v>90</v>
      </c>
      <c r="D132" t="s">
        <v>91</v>
      </c>
      <c r="E132" t="s">
        <v>72</v>
      </c>
      <c r="F132" t="s">
        <v>73</v>
      </c>
      <c r="G132" t="s">
        <v>63</v>
      </c>
      <c r="H132">
        <v>18</v>
      </c>
      <c r="I132">
        <v>50.3</v>
      </c>
      <c r="J132">
        <v>905.4</v>
      </c>
      <c r="K132">
        <v>36.47</v>
      </c>
      <c r="L132">
        <v>656.46</v>
      </c>
      <c r="M132">
        <v>248.94</v>
      </c>
      <c r="N132">
        <v>5</v>
      </c>
      <c r="O132">
        <v>30</v>
      </c>
    </row>
    <row r="133" spans="1:15">
      <c r="A133" t="s">
        <v>223</v>
      </c>
      <c r="B133" s="14">
        <v>45355</v>
      </c>
      <c r="C133" t="s">
        <v>59</v>
      </c>
      <c r="D133" t="s">
        <v>60</v>
      </c>
      <c r="E133" t="s">
        <v>61</v>
      </c>
      <c r="F133" t="s">
        <v>73</v>
      </c>
      <c r="G133" t="s">
        <v>68</v>
      </c>
      <c r="H133">
        <v>4</v>
      </c>
      <c r="I133">
        <v>49.26</v>
      </c>
      <c r="J133">
        <v>197.04</v>
      </c>
      <c r="K133">
        <v>31.51</v>
      </c>
      <c r="L133">
        <v>126.04</v>
      </c>
      <c r="M133">
        <v>71</v>
      </c>
      <c r="N133">
        <v>46</v>
      </c>
      <c r="O133">
        <v>20</v>
      </c>
    </row>
    <row r="134" spans="1:15">
      <c r="A134" t="s">
        <v>224</v>
      </c>
      <c r="B134" s="14">
        <v>45579</v>
      </c>
      <c r="C134" t="s">
        <v>70</v>
      </c>
      <c r="D134" t="s">
        <v>71</v>
      </c>
      <c r="E134" t="s">
        <v>72</v>
      </c>
      <c r="F134" t="s">
        <v>103</v>
      </c>
      <c r="G134" t="s">
        <v>99</v>
      </c>
      <c r="H134">
        <v>2</v>
      </c>
      <c r="I134">
        <v>25.73</v>
      </c>
      <c r="J134">
        <v>51.46</v>
      </c>
      <c r="L134">
        <v>23.16</v>
      </c>
      <c r="M134">
        <v>28.3</v>
      </c>
      <c r="N134">
        <v>76</v>
      </c>
      <c r="O134">
        <v>30</v>
      </c>
    </row>
    <row r="135" spans="1:15">
      <c r="A135" t="s">
        <v>225</v>
      </c>
      <c r="B135" s="14">
        <v>45557</v>
      </c>
      <c r="C135" t="s">
        <v>70</v>
      </c>
      <c r="D135" t="s">
        <v>71</v>
      </c>
      <c r="E135" t="s">
        <v>72</v>
      </c>
      <c r="F135" t="s">
        <v>76</v>
      </c>
      <c r="G135" t="s">
        <v>92</v>
      </c>
      <c r="H135">
        <v>18</v>
      </c>
      <c r="I135">
        <v>114.01</v>
      </c>
      <c r="K135">
        <v>71.92</v>
      </c>
      <c r="L135">
        <v>1294.56</v>
      </c>
      <c r="M135">
        <v>757.62</v>
      </c>
      <c r="N135">
        <v>177</v>
      </c>
      <c r="O135">
        <v>30</v>
      </c>
    </row>
    <row r="136" spans="1:15">
      <c r="A136" t="s">
        <v>226</v>
      </c>
      <c r="B136" s="14">
        <v>45413</v>
      </c>
      <c r="C136" t="s">
        <v>65</v>
      </c>
      <c r="D136" t="s">
        <v>66</v>
      </c>
      <c r="E136" t="s">
        <v>67</v>
      </c>
      <c r="F136" t="s">
        <v>119</v>
      </c>
      <c r="G136" t="s">
        <v>92</v>
      </c>
      <c r="H136">
        <v>7</v>
      </c>
      <c r="I136">
        <v>39.71</v>
      </c>
      <c r="J136">
        <v>277.97000000000003</v>
      </c>
      <c r="L136">
        <v>206.36</v>
      </c>
      <c r="M136">
        <v>71.61</v>
      </c>
      <c r="N136">
        <v>55</v>
      </c>
      <c r="O136">
        <v>20</v>
      </c>
    </row>
    <row r="137" spans="1:15">
      <c r="A137" t="s">
        <v>227</v>
      </c>
      <c r="B137" s="14">
        <v>45422</v>
      </c>
      <c r="C137" t="s">
        <v>70</v>
      </c>
      <c r="D137" t="s">
        <v>71</v>
      </c>
      <c r="E137" t="s">
        <v>72</v>
      </c>
      <c r="F137" t="s">
        <v>82</v>
      </c>
      <c r="G137" t="s">
        <v>88</v>
      </c>
      <c r="H137">
        <v>13</v>
      </c>
      <c r="I137">
        <v>164.19</v>
      </c>
      <c r="J137">
        <v>2134.4699999999998</v>
      </c>
      <c r="L137">
        <v>993.2</v>
      </c>
      <c r="M137">
        <v>1141.27</v>
      </c>
      <c r="N137">
        <v>116</v>
      </c>
      <c r="O137">
        <v>20</v>
      </c>
    </row>
    <row r="138" spans="1:15">
      <c r="A138" t="s">
        <v>228</v>
      </c>
      <c r="B138" s="14">
        <v>45429</v>
      </c>
      <c r="C138" t="s">
        <v>59</v>
      </c>
      <c r="D138" t="s">
        <v>60</v>
      </c>
      <c r="E138" t="s">
        <v>61</v>
      </c>
      <c r="F138" t="s">
        <v>103</v>
      </c>
      <c r="G138" t="s">
        <v>99</v>
      </c>
      <c r="H138">
        <v>12</v>
      </c>
      <c r="I138">
        <v>143.09</v>
      </c>
      <c r="J138">
        <v>1717.08</v>
      </c>
      <c r="K138">
        <v>94.31</v>
      </c>
      <c r="L138">
        <v>1131.72</v>
      </c>
      <c r="M138">
        <v>585.36</v>
      </c>
      <c r="N138">
        <v>130</v>
      </c>
      <c r="O138">
        <v>50</v>
      </c>
    </row>
    <row r="139" spans="1:15">
      <c r="A139" t="s">
        <v>229</v>
      </c>
      <c r="B139" s="14">
        <v>45601</v>
      </c>
      <c r="C139" t="s">
        <v>59</v>
      </c>
      <c r="D139" t="s">
        <v>60</v>
      </c>
      <c r="E139" t="s">
        <v>61</v>
      </c>
      <c r="F139" t="s">
        <v>128</v>
      </c>
      <c r="H139">
        <v>3</v>
      </c>
      <c r="I139">
        <v>71.180000000000007</v>
      </c>
      <c r="J139">
        <v>213.54</v>
      </c>
      <c r="K139">
        <v>43.6</v>
      </c>
      <c r="L139">
        <v>130.80000000000001</v>
      </c>
      <c r="M139">
        <v>82.74</v>
      </c>
      <c r="N139">
        <v>175</v>
      </c>
      <c r="O139">
        <v>50</v>
      </c>
    </row>
    <row r="140" spans="1:15">
      <c r="A140" t="s">
        <v>230</v>
      </c>
      <c r="B140" s="14">
        <v>45366</v>
      </c>
      <c r="C140" t="s">
        <v>59</v>
      </c>
      <c r="D140" t="s">
        <v>60</v>
      </c>
      <c r="E140" t="s">
        <v>61</v>
      </c>
      <c r="F140" t="s">
        <v>106</v>
      </c>
      <c r="G140" t="s">
        <v>63</v>
      </c>
      <c r="H140">
        <v>9</v>
      </c>
      <c r="I140">
        <v>7.42</v>
      </c>
      <c r="J140">
        <v>66.78</v>
      </c>
      <c r="K140">
        <v>4.09</v>
      </c>
      <c r="L140">
        <v>36.81</v>
      </c>
      <c r="M140">
        <v>29.97</v>
      </c>
      <c r="N140">
        <v>56</v>
      </c>
      <c r="O140">
        <v>30</v>
      </c>
    </row>
    <row r="141" spans="1:15">
      <c r="A141" t="s">
        <v>231</v>
      </c>
      <c r="B141" s="14">
        <v>45542</v>
      </c>
      <c r="C141" t="s">
        <v>90</v>
      </c>
      <c r="D141" t="s">
        <v>91</v>
      </c>
      <c r="E141" t="s">
        <v>72</v>
      </c>
      <c r="H141">
        <v>17</v>
      </c>
      <c r="I141">
        <v>90.48</v>
      </c>
      <c r="J141">
        <v>1538.16</v>
      </c>
      <c r="K141">
        <v>56.9</v>
      </c>
      <c r="L141">
        <v>967.3</v>
      </c>
      <c r="M141">
        <v>570.86</v>
      </c>
      <c r="N141">
        <v>72</v>
      </c>
      <c r="O141">
        <v>50</v>
      </c>
    </row>
    <row r="142" spans="1:15">
      <c r="A142" t="s">
        <v>232</v>
      </c>
      <c r="B142" s="14">
        <v>45384</v>
      </c>
      <c r="C142" t="s">
        <v>84</v>
      </c>
      <c r="D142" t="s">
        <v>85</v>
      </c>
      <c r="E142" t="s">
        <v>86</v>
      </c>
      <c r="G142" t="s">
        <v>68</v>
      </c>
      <c r="H142">
        <v>18</v>
      </c>
      <c r="I142">
        <v>140.16</v>
      </c>
      <c r="J142">
        <v>2522.88</v>
      </c>
      <c r="K142">
        <v>105.51</v>
      </c>
      <c r="L142">
        <v>1899.18</v>
      </c>
      <c r="M142">
        <v>623.70000000000005</v>
      </c>
      <c r="N142">
        <v>103</v>
      </c>
      <c r="O142">
        <v>30</v>
      </c>
    </row>
    <row r="143" spans="1:15">
      <c r="A143" t="s">
        <v>233</v>
      </c>
      <c r="B143" s="14">
        <v>45485</v>
      </c>
      <c r="C143" t="s">
        <v>70</v>
      </c>
      <c r="D143" t="s">
        <v>71</v>
      </c>
      <c r="E143" t="s">
        <v>72</v>
      </c>
      <c r="F143" t="s">
        <v>119</v>
      </c>
      <c r="G143" t="s">
        <v>88</v>
      </c>
      <c r="H143">
        <v>2</v>
      </c>
      <c r="I143">
        <v>230.02</v>
      </c>
      <c r="J143">
        <v>460.04</v>
      </c>
      <c r="K143">
        <v>150.82</v>
      </c>
      <c r="L143">
        <v>301.64</v>
      </c>
      <c r="M143">
        <v>158.4</v>
      </c>
      <c r="N143">
        <v>94</v>
      </c>
      <c r="O143">
        <v>50</v>
      </c>
    </row>
    <row r="144" spans="1:15">
      <c r="A144" t="s">
        <v>234</v>
      </c>
      <c r="B144" s="14">
        <v>45531</v>
      </c>
      <c r="C144" t="s">
        <v>70</v>
      </c>
      <c r="D144" t="s">
        <v>71</v>
      </c>
      <c r="E144" t="s">
        <v>72</v>
      </c>
      <c r="F144" t="s">
        <v>82</v>
      </c>
      <c r="G144" t="s">
        <v>88</v>
      </c>
      <c r="H144">
        <v>9</v>
      </c>
      <c r="I144">
        <v>238.39</v>
      </c>
      <c r="J144">
        <v>2145.5100000000002</v>
      </c>
      <c r="K144">
        <v>145</v>
      </c>
      <c r="L144">
        <v>1305</v>
      </c>
      <c r="M144">
        <v>840.51</v>
      </c>
      <c r="N144">
        <v>183</v>
      </c>
      <c r="O144">
        <v>20</v>
      </c>
    </row>
    <row r="145" spans="1:15">
      <c r="A145" t="s">
        <v>235</v>
      </c>
      <c r="B145" s="14">
        <v>45338</v>
      </c>
      <c r="C145" t="s">
        <v>90</v>
      </c>
      <c r="D145" t="s">
        <v>91</v>
      </c>
      <c r="E145" t="s">
        <v>72</v>
      </c>
      <c r="F145" t="s">
        <v>62</v>
      </c>
      <c r="G145" t="s">
        <v>63</v>
      </c>
      <c r="H145">
        <v>3</v>
      </c>
      <c r="I145">
        <v>183.84</v>
      </c>
      <c r="J145">
        <v>551.52</v>
      </c>
      <c r="K145">
        <v>143.02000000000001</v>
      </c>
      <c r="L145">
        <v>429.06</v>
      </c>
      <c r="M145">
        <v>122.46</v>
      </c>
      <c r="N145">
        <v>42</v>
      </c>
      <c r="O145">
        <v>50</v>
      </c>
    </row>
    <row r="146" spans="1:15">
      <c r="A146" t="s">
        <v>236</v>
      </c>
      <c r="B146" s="14">
        <v>45509</v>
      </c>
      <c r="C146" t="s">
        <v>111</v>
      </c>
      <c r="D146" t="s">
        <v>112</v>
      </c>
      <c r="E146" t="s">
        <v>67</v>
      </c>
      <c r="G146" t="s">
        <v>99</v>
      </c>
      <c r="H146">
        <v>16</v>
      </c>
      <c r="I146">
        <v>126.96</v>
      </c>
      <c r="J146">
        <v>2031.36</v>
      </c>
      <c r="L146">
        <v>1369.28</v>
      </c>
      <c r="M146">
        <v>662.08</v>
      </c>
      <c r="N146">
        <v>173</v>
      </c>
      <c r="O146">
        <v>50</v>
      </c>
    </row>
    <row r="147" spans="1:15">
      <c r="A147" t="s">
        <v>237</v>
      </c>
      <c r="B147" s="14">
        <v>45509</v>
      </c>
      <c r="C147" t="s">
        <v>84</v>
      </c>
      <c r="D147" t="s">
        <v>85</v>
      </c>
      <c r="E147" t="s">
        <v>86</v>
      </c>
      <c r="F147" t="s">
        <v>62</v>
      </c>
      <c r="G147" t="s">
        <v>92</v>
      </c>
      <c r="H147">
        <v>8</v>
      </c>
      <c r="I147">
        <v>248.58</v>
      </c>
      <c r="J147">
        <v>1988.64</v>
      </c>
      <c r="K147">
        <v>165.17</v>
      </c>
      <c r="L147">
        <v>1321.36</v>
      </c>
      <c r="M147">
        <v>667.28</v>
      </c>
      <c r="N147">
        <v>135</v>
      </c>
      <c r="O147">
        <v>50</v>
      </c>
    </row>
    <row r="148" spans="1:15">
      <c r="A148" t="s">
        <v>238</v>
      </c>
      <c r="B148" s="14">
        <v>45407</v>
      </c>
      <c r="C148" t="s">
        <v>111</v>
      </c>
      <c r="D148" t="s">
        <v>112</v>
      </c>
      <c r="E148" t="s">
        <v>67</v>
      </c>
      <c r="F148" t="s">
        <v>128</v>
      </c>
      <c r="G148" t="s">
        <v>99</v>
      </c>
      <c r="H148">
        <v>3</v>
      </c>
      <c r="I148">
        <v>94.93</v>
      </c>
      <c r="J148">
        <v>284.79000000000002</v>
      </c>
      <c r="K148">
        <v>43.03</v>
      </c>
      <c r="L148">
        <v>129.09</v>
      </c>
      <c r="M148">
        <v>155.69999999999999</v>
      </c>
      <c r="N148">
        <v>90</v>
      </c>
      <c r="O148">
        <v>20</v>
      </c>
    </row>
    <row r="149" spans="1:15">
      <c r="A149" t="s">
        <v>239</v>
      </c>
      <c r="B149" s="14">
        <v>45419</v>
      </c>
      <c r="C149" t="s">
        <v>90</v>
      </c>
      <c r="D149" t="s">
        <v>91</v>
      </c>
      <c r="E149" t="s">
        <v>72</v>
      </c>
      <c r="F149" t="s">
        <v>128</v>
      </c>
      <c r="G149" t="s">
        <v>74</v>
      </c>
      <c r="H149">
        <v>10</v>
      </c>
      <c r="I149">
        <v>78.3</v>
      </c>
      <c r="J149">
        <v>783</v>
      </c>
      <c r="K149">
        <v>40.51</v>
      </c>
      <c r="L149">
        <v>405.1</v>
      </c>
      <c r="M149">
        <v>377.9</v>
      </c>
      <c r="N149">
        <v>54</v>
      </c>
      <c r="O149">
        <v>20</v>
      </c>
    </row>
    <row r="150" spans="1:15">
      <c r="A150" t="s">
        <v>240</v>
      </c>
      <c r="B150" s="14">
        <v>45310</v>
      </c>
      <c r="C150" t="s">
        <v>78</v>
      </c>
      <c r="D150" t="s">
        <v>79</v>
      </c>
      <c r="E150" t="s">
        <v>72</v>
      </c>
      <c r="F150" t="s">
        <v>73</v>
      </c>
      <c r="H150">
        <v>20</v>
      </c>
      <c r="I150">
        <v>212.85</v>
      </c>
      <c r="J150">
        <v>4257</v>
      </c>
      <c r="K150">
        <v>90.04</v>
      </c>
      <c r="L150">
        <v>1800.8</v>
      </c>
      <c r="M150">
        <v>2456.1999999999998</v>
      </c>
      <c r="N150">
        <v>1</v>
      </c>
      <c r="O150">
        <v>50</v>
      </c>
    </row>
    <row r="151" spans="1:15">
      <c r="A151" t="s">
        <v>241</v>
      </c>
      <c r="B151" s="14">
        <v>45497</v>
      </c>
      <c r="C151" t="s">
        <v>84</v>
      </c>
      <c r="D151" t="s">
        <v>85</v>
      </c>
      <c r="E151" t="s">
        <v>86</v>
      </c>
      <c r="F151" t="s">
        <v>103</v>
      </c>
      <c r="G151" t="s">
        <v>99</v>
      </c>
      <c r="H151">
        <v>1</v>
      </c>
      <c r="I151">
        <v>29.83</v>
      </c>
      <c r="J151">
        <v>29.83</v>
      </c>
      <c r="K151">
        <v>17.8</v>
      </c>
      <c r="L151">
        <v>17.8</v>
      </c>
      <c r="M151">
        <v>12.03</v>
      </c>
      <c r="N151">
        <v>21</v>
      </c>
      <c r="O151">
        <v>50</v>
      </c>
    </row>
    <row r="152" spans="1:15">
      <c r="A152" t="s">
        <v>242</v>
      </c>
      <c r="B152" s="14">
        <v>45407</v>
      </c>
      <c r="C152" t="s">
        <v>78</v>
      </c>
      <c r="D152" t="s">
        <v>79</v>
      </c>
      <c r="E152" t="s">
        <v>72</v>
      </c>
      <c r="F152" t="s">
        <v>82</v>
      </c>
      <c r="G152" t="s">
        <v>63</v>
      </c>
      <c r="H152">
        <v>13</v>
      </c>
      <c r="I152">
        <v>96.71</v>
      </c>
      <c r="J152">
        <v>1257.23</v>
      </c>
      <c r="K152">
        <v>52.78</v>
      </c>
      <c r="L152">
        <v>686.14</v>
      </c>
      <c r="M152">
        <v>571.09</v>
      </c>
      <c r="N152">
        <v>46</v>
      </c>
      <c r="O152">
        <v>50</v>
      </c>
    </row>
    <row r="153" spans="1:15">
      <c r="A153" t="s">
        <v>243</v>
      </c>
      <c r="B153" s="14">
        <v>45514</v>
      </c>
      <c r="C153" t="s">
        <v>65</v>
      </c>
      <c r="D153" t="s">
        <v>66</v>
      </c>
      <c r="E153" t="s">
        <v>67</v>
      </c>
      <c r="F153" t="s">
        <v>82</v>
      </c>
      <c r="G153" t="s">
        <v>63</v>
      </c>
      <c r="H153">
        <v>12</v>
      </c>
      <c r="I153">
        <v>221.48</v>
      </c>
      <c r="J153">
        <v>2657.76</v>
      </c>
      <c r="L153">
        <v>1817.04</v>
      </c>
      <c r="M153">
        <v>840.72</v>
      </c>
      <c r="N153">
        <v>28</v>
      </c>
      <c r="O153">
        <v>20</v>
      </c>
    </row>
    <row r="154" spans="1:15">
      <c r="A154" t="s">
        <v>244</v>
      </c>
      <c r="B154" s="14">
        <v>45393</v>
      </c>
      <c r="C154" t="s">
        <v>78</v>
      </c>
      <c r="D154" t="s">
        <v>79</v>
      </c>
      <c r="E154" t="s">
        <v>72</v>
      </c>
      <c r="F154" t="s">
        <v>103</v>
      </c>
      <c r="G154" t="s">
        <v>68</v>
      </c>
      <c r="H154">
        <v>9</v>
      </c>
      <c r="I154">
        <v>34.1</v>
      </c>
      <c r="J154">
        <v>306.89999999999998</v>
      </c>
      <c r="K154">
        <v>20.309999999999999</v>
      </c>
      <c r="L154">
        <v>182.79</v>
      </c>
      <c r="M154">
        <v>124.11</v>
      </c>
      <c r="N154">
        <v>126</v>
      </c>
      <c r="O154">
        <v>50</v>
      </c>
    </row>
    <row r="155" spans="1:15">
      <c r="A155" t="s">
        <v>245</v>
      </c>
      <c r="B155" s="14">
        <v>45491</v>
      </c>
      <c r="C155" t="s">
        <v>111</v>
      </c>
      <c r="D155" t="s">
        <v>112</v>
      </c>
      <c r="E155" t="s">
        <v>67</v>
      </c>
      <c r="G155" t="s">
        <v>92</v>
      </c>
      <c r="H155">
        <v>4</v>
      </c>
      <c r="I155">
        <v>239.63</v>
      </c>
      <c r="K155">
        <v>171.84</v>
      </c>
      <c r="L155">
        <v>687.36</v>
      </c>
      <c r="M155">
        <v>271.16000000000003</v>
      </c>
      <c r="N155">
        <v>32</v>
      </c>
      <c r="O155">
        <v>20</v>
      </c>
    </row>
    <row r="156" spans="1:15">
      <c r="A156" t="s">
        <v>246</v>
      </c>
      <c r="B156" s="14">
        <v>45511</v>
      </c>
      <c r="C156" t="s">
        <v>65</v>
      </c>
      <c r="D156" t="s">
        <v>66</v>
      </c>
      <c r="E156" t="s">
        <v>67</v>
      </c>
      <c r="F156" t="s">
        <v>119</v>
      </c>
      <c r="G156" t="s">
        <v>92</v>
      </c>
      <c r="H156">
        <v>14</v>
      </c>
      <c r="I156">
        <v>122.65</v>
      </c>
      <c r="J156">
        <v>1717.1</v>
      </c>
      <c r="K156">
        <v>62.91</v>
      </c>
      <c r="L156">
        <v>880.74</v>
      </c>
      <c r="M156">
        <v>836.36</v>
      </c>
      <c r="N156">
        <v>21</v>
      </c>
      <c r="O156">
        <v>30</v>
      </c>
    </row>
    <row r="157" spans="1:15">
      <c r="A157" t="s">
        <v>247</v>
      </c>
      <c r="B157" s="14">
        <v>45426</v>
      </c>
      <c r="C157" t="s">
        <v>59</v>
      </c>
      <c r="D157" t="s">
        <v>60</v>
      </c>
      <c r="E157" t="s">
        <v>61</v>
      </c>
      <c r="F157" t="s">
        <v>103</v>
      </c>
      <c r="G157" t="s">
        <v>74</v>
      </c>
      <c r="H157">
        <v>14</v>
      </c>
      <c r="I157">
        <v>53.61</v>
      </c>
      <c r="J157">
        <v>750.54</v>
      </c>
      <c r="K157">
        <v>36.590000000000003</v>
      </c>
      <c r="L157">
        <v>512.26</v>
      </c>
      <c r="M157">
        <v>238.28</v>
      </c>
      <c r="N157">
        <v>26</v>
      </c>
      <c r="O157">
        <v>50</v>
      </c>
    </row>
    <row r="158" spans="1:15">
      <c r="A158" t="s">
        <v>248</v>
      </c>
      <c r="B158" s="14">
        <v>45359</v>
      </c>
      <c r="C158" t="s">
        <v>96</v>
      </c>
      <c r="D158" t="s">
        <v>97</v>
      </c>
      <c r="E158" t="s">
        <v>67</v>
      </c>
      <c r="F158" t="s">
        <v>62</v>
      </c>
      <c r="G158" t="s">
        <v>92</v>
      </c>
      <c r="H158">
        <v>2</v>
      </c>
      <c r="I158">
        <v>72.099999999999994</v>
      </c>
      <c r="J158">
        <v>144.19999999999999</v>
      </c>
      <c r="K158">
        <v>34.380000000000003</v>
      </c>
      <c r="L158">
        <v>68.760000000000005</v>
      </c>
      <c r="M158">
        <v>75.44</v>
      </c>
      <c r="N158">
        <v>37</v>
      </c>
      <c r="O158">
        <v>30</v>
      </c>
    </row>
    <row r="159" spans="1:15">
      <c r="A159" t="s">
        <v>249</v>
      </c>
      <c r="B159" s="14">
        <v>45616</v>
      </c>
      <c r="C159" t="s">
        <v>59</v>
      </c>
      <c r="D159" t="s">
        <v>60</v>
      </c>
      <c r="E159" t="s">
        <v>61</v>
      </c>
      <c r="G159" t="s">
        <v>68</v>
      </c>
      <c r="H159">
        <v>8</v>
      </c>
      <c r="I159">
        <v>87.36</v>
      </c>
      <c r="J159">
        <v>698.88</v>
      </c>
      <c r="K159">
        <v>51.69</v>
      </c>
      <c r="L159">
        <v>413.52</v>
      </c>
      <c r="M159">
        <v>285.36</v>
      </c>
      <c r="N159">
        <v>130</v>
      </c>
      <c r="O159">
        <v>30</v>
      </c>
    </row>
    <row r="160" spans="1:15">
      <c r="A160" t="s">
        <v>250</v>
      </c>
      <c r="B160" s="14">
        <v>45418</v>
      </c>
      <c r="C160" t="s">
        <v>84</v>
      </c>
      <c r="D160" t="s">
        <v>85</v>
      </c>
      <c r="E160" t="s">
        <v>86</v>
      </c>
      <c r="F160" t="s">
        <v>76</v>
      </c>
      <c r="G160" t="s">
        <v>74</v>
      </c>
      <c r="H160">
        <v>2</v>
      </c>
      <c r="I160">
        <v>49.53</v>
      </c>
      <c r="J160">
        <v>99.06</v>
      </c>
      <c r="K160">
        <v>19.82</v>
      </c>
      <c r="L160">
        <v>39.64</v>
      </c>
      <c r="M160">
        <v>59.42</v>
      </c>
      <c r="N160">
        <v>169</v>
      </c>
      <c r="O160">
        <v>50</v>
      </c>
    </row>
    <row r="161" spans="1:15">
      <c r="A161" t="s">
        <v>251</v>
      </c>
      <c r="B161" s="14">
        <v>45421</v>
      </c>
      <c r="C161" t="s">
        <v>78</v>
      </c>
      <c r="D161" t="s">
        <v>79</v>
      </c>
      <c r="E161" t="s">
        <v>72</v>
      </c>
      <c r="F161" t="s">
        <v>103</v>
      </c>
      <c r="G161" t="s">
        <v>68</v>
      </c>
      <c r="H161">
        <v>12</v>
      </c>
      <c r="I161">
        <v>86.9</v>
      </c>
      <c r="J161">
        <v>1042.8</v>
      </c>
      <c r="K161">
        <v>38.64</v>
      </c>
      <c r="L161">
        <v>463.68</v>
      </c>
      <c r="M161">
        <v>579.12</v>
      </c>
      <c r="N161">
        <v>171</v>
      </c>
      <c r="O161">
        <v>20</v>
      </c>
    </row>
    <row r="162" spans="1:15">
      <c r="A162" t="s">
        <v>252</v>
      </c>
      <c r="B162" s="14">
        <v>45601</v>
      </c>
      <c r="C162" t="s">
        <v>84</v>
      </c>
      <c r="D162" t="s">
        <v>85</v>
      </c>
      <c r="E162" t="s">
        <v>86</v>
      </c>
      <c r="F162" t="s">
        <v>106</v>
      </c>
      <c r="G162" t="s">
        <v>74</v>
      </c>
      <c r="H162">
        <v>8</v>
      </c>
      <c r="I162">
        <v>164.31</v>
      </c>
      <c r="K162">
        <v>79.53</v>
      </c>
      <c r="L162">
        <v>636.24</v>
      </c>
      <c r="M162">
        <v>678.24</v>
      </c>
      <c r="N162">
        <v>98</v>
      </c>
      <c r="O162">
        <v>20</v>
      </c>
    </row>
    <row r="163" spans="1:15">
      <c r="A163" t="s">
        <v>253</v>
      </c>
      <c r="B163" s="14">
        <v>45389</v>
      </c>
      <c r="C163" t="s">
        <v>59</v>
      </c>
      <c r="D163" t="s">
        <v>60</v>
      </c>
      <c r="E163" t="s">
        <v>61</v>
      </c>
      <c r="F163" t="s">
        <v>76</v>
      </c>
      <c r="G163" t="s">
        <v>68</v>
      </c>
      <c r="H163">
        <v>15</v>
      </c>
      <c r="I163">
        <v>231.75</v>
      </c>
      <c r="J163">
        <v>3476.25</v>
      </c>
      <c r="K163">
        <v>99.64</v>
      </c>
      <c r="L163">
        <v>1494.6</v>
      </c>
      <c r="M163">
        <v>1981.65</v>
      </c>
      <c r="N163">
        <v>139</v>
      </c>
      <c r="O163">
        <v>50</v>
      </c>
    </row>
    <row r="164" spans="1:15">
      <c r="A164" t="s">
        <v>254</v>
      </c>
      <c r="B164" s="14">
        <v>45314</v>
      </c>
      <c r="C164" t="s">
        <v>111</v>
      </c>
      <c r="D164" t="s">
        <v>112</v>
      </c>
      <c r="E164" t="s">
        <v>67</v>
      </c>
      <c r="F164" t="s">
        <v>76</v>
      </c>
      <c r="G164" t="s">
        <v>68</v>
      </c>
      <c r="H164">
        <v>7</v>
      </c>
      <c r="I164">
        <v>107.46</v>
      </c>
      <c r="J164">
        <v>752.22</v>
      </c>
      <c r="L164">
        <v>514.99</v>
      </c>
      <c r="M164">
        <v>237.23</v>
      </c>
      <c r="N164">
        <v>194</v>
      </c>
      <c r="O164">
        <v>50</v>
      </c>
    </row>
    <row r="165" spans="1:15">
      <c r="A165" t="s">
        <v>255</v>
      </c>
      <c r="B165" s="14">
        <v>45506</v>
      </c>
      <c r="C165" t="s">
        <v>65</v>
      </c>
      <c r="D165" t="s">
        <v>66</v>
      </c>
      <c r="E165" t="s">
        <v>67</v>
      </c>
      <c r="G165" t="s">
        <v>92</v>
      </c>
      <c r="H165">
        <v>6</v>
      </c>
      <c r="I165">
        <v>151.79</v>
      </c>
      <c r="J165">
        <v>910.74</v>
      </c>
      <c r="K165">
        <v>103.02</v>
      </c>
      <c r="L165">
        <v>618.12</v>
      </c>
      <c r="M165">
        <v>292.62</v>
      </c>
      <c r="N165">
        <v>33</v>
      </c>
      <c r="O165">
        <v>30</v>
      </c>
    </row>
    <row r="166" spans="1:15">
      <c r="A166" t="s">
        <v>256</v>
      </c>
      <c r="B166" s="14">
        <v>45545</v>
      </c>
      <c r="C166" t="s">
        <v>90</v>
      </c>
      <c r="D166" t="s">
        <v>91</v>
      </c>
      <c r="E166" t="s">
        <v>72</v>
      </c>
      <c r="F166" t="s">
        <v>128</v>
      </c>
      <c r="G166" t="s">
        <v>92</v>
      </c>
      <c r="H166">
        <v>6</v>
      </c>
      <c r="I166">
        <v>112.25</v>
      </c>
      <c r="J166">
        <v>673.5</v>
      </c>
      <c r="K166">
        <v>67.77</v>
      </c>
      <c r="L166">
        <v>406.62</v>
      </c>
      <c r="M166">
        <v>266.88</v>
      </c>
      <c r="N166">
        <v>143</v>
      </c>
      <c r="O166">
        <v>30</v>
      </c>
    </row>
    <row r="167" spans="1:15">
      <c r="A167" t="s">
        <v>257</v>
      </c>
      <c r="B167" s="14">
        <v>45296</v>
      </c>
      <c r="C167" t="s">
        <v>78</v>
      </c>
      <c r="D167" t="s">
        <v>79</v>
      </c>
      <c r="E167" t="s">
        <v>72</v>
      </c>
      <c r="F167" t="s">
        <v>82</v>
      </c>
      <c r="H167">
        <v>17</v>
      </c>
      <c r="I167">
        <v>178.4</v>
      </c>
      <c r="J167">
        <v>3032.8</v>
      </c>
      <c r="K167">
        <v>108.83</v>
      </c>
      <c r="L167">
        <v>1850.11</v>
      </c>
      <c r="M167">
        <v>1182.69</v>
      </c>
      <c r="N167">
        <v>77</v>
      </c>
      <c r="O167">
        <v>20</v>
      </c>
    </row>
    <row r="168" spans="1:15">
      <c r="A168" t="s">
        <v>258</v>
      </c>
      <c r="B168" s="14">
        <v>45441</v>
      </c>
      <c r="C168" t="s">
        <v>65</v>
      </c>
      <c r="D168" t="s">
        <v>66</v>
      </c>
      <c r="E168" t="s">
        <v>67</v>
      </c>
      <c r="F168" t="s">
        <v>62</v>
      </c>
      <c r="G168" t="s">
        <v>88</v>
      </c>
      <c r="H168">
        <v>5</v>
      </c>
      <c r="I168">
        <v>235.8</v>
      </c>
      <c r="J168">
        <v>1179</v>
      </c>
      <c r="K168">
        <v>120.52</v>
      </c>
      <c r="L168">
        <v>602.6</v>
      </c>
      <c r="M168">
        <v>576.4</v>
      </c>
      <c r="N168">
        <v>34</v>
      </c>
      <c r="O168">
        <v>30</v>
      </c>
    </row>
    <row r="169" spans="1:15">
      <c r="A169" t="s">
        <v>259</v>
      </c>
      <c r="B169" s="14">
        <v>45469</v>
      </c>
      <c r="C169" t="s">
        <v>84</v>
      </c>
      <c r="D169" t="s">
        <v>85</v>
      </c>
      <c r="E169" t="s">
        <v>86</v>
      </c>
      <c r="F169" t="s">
        <v>103</v>
      </c>
      <c r="G169" t="s">
        <v>99</v>
      </c>
      <c r="H169">
        <v>11</v>
      </c>
      <c r="I169">
        <v>25.4</v>
      </c>
      <c r="J169">
        <v>279.39999999999998</v>
      </c>
      <c r="K169">
        <v>17.329999999999998</v>
      </c>
      <c r="L169">
        <v>190.63</v>
      </c>
      <c r="M169">
        <v>88.77</v>
      </c>
      <c r="N169">
        <v>140</v>
      </c>
      <c r="O169">
        <v>30</v>
      </c>
    </row>
    <row r="170" spans="1:15">
      <c r="A170" t="s">
        <v>260</v>
      </c>
      <c r="B170" s="14">
        <v>45297</v>
      </c>
      <c r="C170" t="s">
        <v>84</v>
      </c>
      <c r="D170" t="s">
        <v>85</v>
      </c>
      <c r="E170" t="s">
        <v>86</v>
      </c>
      <c r="F170" t="s">
        <v>106</v>
      </c>
      <c r="G170" t="s">
        <v>88</v>
      </c>
      <c r="H170">
        <v>8</v>
      </c>
      <c r="I170">
        <v>183.97</v>
      </c>
      <c r="J170">
        <v>1471.76</v>
      </c>
      <c r="K170">
        <v>94.17</v>
      </c>
      <c r="L170">
        <v>753.36</v>
      </c>
      <c r="M170">
        <v>718.4</v>
      </c>
      <c r="N170">
        <v>65</v>
      </c>
      <c r="O170">
        <v>20</v>
      </c>
    </row>
    <row r="171" spans="1:15">
      <c r="A171" t="s">
        <v>261</v>
      </c>
      <c r="B171" s="14">
        <v>45616</v>
      </c>
      <c r="C171" t="s">
        <v>59</v>
      </c>
      <c r="D171" t="s">
        <v>60</v>
      </c>
      <c r="E171" t="s">
        <v>61</v>
      </c>
      <c r="F171" t="s">
        <v>128</v>
      </c>
      <c r="G171" t="s">
        <v>74</v>
      </c>
      <c r="H171">
        <v>15</v>
      </c>
      <c r="I171">
        <v>59.06</v>
      </c>
      <c r="J171">
        <v>885.9</v>
      </c>
      <c r="K171">
        <v>29.97</v>
      </c>
      <c r="L171">
        <v>449.55</v>
      </c>
      <c r="M171">
        <v>436.35</v>
      </c>
      <c r="N171">
        <v>148</v>
      </c>
      <c r="O171">
        <v>50</v>
      </c>
    </row>
    <row r="172" spans="1:15">
      <c r="A172" t="s">
        <v>262</v>
      </c>
      <c r="B172" s="14">
        <v>45537</v>
      </c>
      <c r="C172" t="s">
        <v>90</v>
      </c>
      <c r="D172" t="s">
        <v>91</v>
      </c>
      <c r="E172" t="s">
        <v>72</v>
      </c>
      <c r="F172" t="s">
        <v>73</v>
      </c>
      <c r="G172" t="s">
        <v>88</v>
      </c>
      <c r="H172">
        <v>16</v>
      </c>
      <c r="I172">
        <v>49.47</v>
      </c>
      <c r="J172">
        <v>791.52</v>
      </c>
      <c r="K172">
        <v>23.45</v>
      </c>
      <c r="L172">
        <v>375.2</v>
      </c>
      <c r="M172">
        <v>416.32</v>
      </c>
      <c r="N172">
        <v>45</v>
      </c>
      <c r="O172">
        <v>20</v>
      </c>
    </row>
    <row r="173" spans="1:15">
      <c r="A173" t="s">
        <v>263</v>
      </c>
      <c r="B173" s="14">
        <v>45493</v>
      </c>
      <c r="C173" t="s">
        <v>59</v>
      </c>
      <c r="D173" t="s">
        <v>60</v>
      </c>
      <c r="E173" t="s">
        <v>61</v>
      </c>
      <c r="F173" t="s">
        <v>128</v>
      </c>
      <c r="G173" t="s">
        <v>63</v>
      </c>
      <c r="H173">
        <v>3</v>
      </c>
      <c r="I173">
        <v>40.159999999999997</v>
      </c>
      <c r="J173">
        <v>120.48</v>
      </c>
      <c r="L173">
        <v>68.73</v>
      </c>
      <c r="M173">
        <v>51.75</v>
      </c>
      <c r="N173">
        <v>116</v>
      </c>
      <c r="O173">
        <v>50</v>
      </c>
    </row>
    <row r="174" spans="1:15">
      <c r="A174" t="s">
        <v>264</v>
      </c>
      <c r="B174" s="14">
        <v>45343</v>
      </c>
      <c r="C174" t="s">
        <v>96</v>
      </c>
      <c r="D174" t="s">
        <v>97</v>
      </c>
      <c r="E174" t="s">
        <v>67</v>
      </c>
      <c r="F174" t="s">
        <v>62</v>
      </c>
      <c r="H174">
        <v>13</v>
      </c>
      <c r="I174">
        <v>10.08</v>
      </c>
      <c r="J174">
        <v>131.04</v>
      </c>
      <c r="K174">
        <v>7.36</v>
      </c>
      <c r="L174">
        <v>95.68</v>
      </c>
      <c r="M174">
        <v>35.36</v>
      </c>
      <c r="N174">
        <v>195</v>
      </c>
      <c r="O174">
        <v>50</v>
      </c>
    </row>
    <row r="175" spans="1:15">
      <c r="A175" t="s">
        <v>265</v>
      </c>
      <c r="B175" s="14">
        <v>45298</v>
      </c>
      <c r="C175" t="s">
        <v>65</v>
      </c>
      <c r="D175" t="s">
        <v>66</v>
      </c>
      <c r="E175" t="s">
        <v>67</v>
      </c>
      <c r="F175" t="s">
        <v>119</v>
      </c>
      <c r="G175" t="s">
        <v>74</v>
      </c>
      <c r="H175">
        <v>4</v>
      </c>
      <c r="I175">
        <v>137.88</v>
      </c>
      <c r="J175">
        <v>551.52</v>
      </c>
      <c r="K175">
        <v>100.28</v>
      </c>
      <c r="L175">
        <v>401.12</v>
      </c>
      <c r="M175">
        <v>150.4</v>
      </c>
      <c r="N175">
        <v>181</v>
      </c>
      <c r="O175">
        <v>20</v>
      </c>
    </row>
    <row r="176" spans="1:15">
      <c r="A176" t="s">
        <v>266</v>
      </c>
      <c r="B176" s="14">
        <v>45461</v>
      </c>
      <c r="C176" t="s">
        <v>78</v>
      </c>
      <c r="D176" t="s">
        <v>79</v>
      </c>
      <c r="E176" t="s">
        <v>72</v>
      </c>
      <c r="F176" t="s">
        <v>106</v>
      </c>
      <c r="H176">
        <v>5</v>
      </c>
      <c r="I176">
        <v>64.73</v>
      </c>
      <c r="J176">
        <v>323.64999999999998</v>
      </c>
      <c r="K176">
        <v>39.96</v>
      </c>
      <c r="L176">
        <v>199.8</v>
      </c>
      <c r="M176">
        <v>123.85</v>
      </c>
      <c r="N176">
        <v>68</v>
      </c>
      <c r="O176">
        <v>50</v>
      </c>
    </row>
    <row r="177" spans="1:15">
      <c r="A177" t="s">
        <v>267</v>
      </c>
      <c r="B177" s="14">
        <v>45504</v>
      </c>
      <c r="C177" t="s">
        <v>111</v>
      </c>
      <c r="D177" t="s">
        <v>112</v>
      </c>
      <c r="E177" t="s">
        <v>67</v>
      </c>
      <c r="F177" t="s">
        <v>103</v>
      </c>
      <c r="G177" t="s">
        <v>68</v>
      </c>
      <c r="H177">
        <v>1</v>
      </c>
      <c r="I177">
        <v>228.48</v>
      </c>
      <c r="J177">
        <v>228.48</v>
      </c>
      <c r="K177">
        <v>93.59</v>
      </c>
      <c r="L177">
        <v>93.59</v>
      </c>
      <c r="M177">
        <v>134.88999999999999</v>
      </c>
      <c r="N177">
        <v>109</v>
      </c>
      <c r="O177">
        <v>30</v>
      </c>
    </row>
    <row r="178" spans="1:15">
      <c r="A178" t="s">
        <v>268</v>
      </c>
      <c r="B178" s="14">
        <v>45349</v>
      </c>
      <c r="C178" t="s">
        <v>78</v>
      </c>
      <c r="D178" t="s">
        <v>79</v>
      </c>
      <c r="E178" t="s">
        <v>72</v>
      </c>
      <c r="F178" t="s">
        <v>106</v>
      </c>
      <c r="G178" t="s">
        <v>92</v>
      </c>
      <c r="H178">
        <v>6</v>
      </c>
      <c r="I178">
        <v>247.74</v>
      </c>
      <c r="J178">
        <v>1486.44</v>
      </c>
      <c r="L178">
        <v>728.1</v>
      </c>
      <c r="M178">
        <v>758.34</v>
      </c>
      <c r="N178">
        <v>72</v>
      </c>
      <c r="O178">
        <v>30</v>
      </c>
    </row>
    <row r="179" spans="1:15">
      <c r="A179" t="s">
        <v>269</v>
      </c>
      <c r="B179" s="14">
        <v>45314</v>
      </c>
      <c r="C179" t="s">
        <v>111</v>
      </c>
      <c r="D179" t="s">
        <v>112</v>
      </c>
      <c r="E179" t="s">
        <v>67</v>
      </c>
      <c r="F179" t="s">
        <v>128</v>
      </c>
      <c r="G179" t="s">
        <v>74</v>
      </c>
      <c r="H179">
        <v>6</v>
      </c>
      <c r="I179">
        <v>110.01</v>
      </c>
      <c r="J179">
        <v>660.06</v>
      </c>
      <c r="K179">
        <v>58.74</v>
      </c>
      <c r="L179">
        <v>352.44</v>
      </c>
      <c r="M179">
        <v>307.62</v>
      </c>
      <c r="N179">
        <v>46</v>
      </c>
      <c r="O179">
        <v>50</v>
      </c>
    </row>
    <row r="180" spans="1:15">
      <c r="A180" t="s">
        <v>270</v>
      </c>
      <c r="B180" s="14">
        <v>45345</v>
      </c>
      <c r="C180" t="s">
        <v>70</v>
      </c>
      <c r="D180" t="s">
        <v>71</v>
      </c>
      <c r="E180" t="s">
        <v>72</v>
      </c>
      <c r="F180" t="s">
        <v>62</v>
      </c>
      <c r="G180" t="s">
        <v>74</v>
      </c>
      <c r="H180">
        <v>16</v>
      </c>
      <c r="I180">
        <v>167.12</v>
      </c>
      <c r="J180">
        <v>2673.92</v>
      </c>
      <c r="K180">
        <v>129.21</v>
      </c>
      <c r="L180">
        <v>2067.36</v>
      </c>
      <c r="M180">
        <v>606.55999999999995</v>
      </c>
      <c r="N180">
        <v>182</v>
      </c>
      <c r="O180">
        <v>20</v>
      </c>
    </row>
    <row r="181" spans="1:15">
      <c r="A181" t="s">
        <v>271</v>
      </c>
      <c r="B181" s="14">
        <v>45536</v>
      </c>
      <c r="C181" t="s">
        <v>90</v>
      </c>
      <c r="D181" t="s">
        <v>91</v>
      </c>
      <c r="E181" t="s">
        <v>72</v>
      </c>
      <c r="F181" t="s">
        <v>106</v>
      </c>
      <c r="G181" t="s">
        <v>68</v>
      </c>
      <c r="H181">
        <v>4</v>
      </c>
      <c r="I181">
        <v>146.57</v>
      </c>
      <c r="J181">
        <v>586.28</v>
      </c>
      <c r="K181">
        <v>114.89</v>
      </c>
      <c r="L181">
        <v>459.56</v>
      </c>
      <c r="M181">
        <v>126.72</v>
      </c>
      <c r="N181">
        <v>71</v>
      </c>
      <c r="O181">
        <v>20</v>
      </c>
    </row>
    <row r="182" spans="1:15">
      <c r="A182" t="s">
        <v>272</v>
      </c>
      <c r="B182" s="14">
        <v>45509</v>
      </c>
      <c r="C182" t="s">
        <v>78</v>
      </c>
      <c r="D182" t="s">
        <v>79</v>
      </c>
      <c r="E182" t="s">
        <v>72</v>
      </c>
      <c r="F182" t="s">
        <v>119</v>
      </c>
      <c r="G182" t="s">
        <v>99</v>
      </c>
      <c r="H182">
        <v>14</v>
      </c>
      <c r="I182">
        <v>152.43</v>
      </c>
      <c r="J182">
        <v>2134.02</v>
      </c>
      <c r="K182">
        <v>99.79</v>
      </c>
      <c r="L182">
        <v>1397.06</v>
      </c>
      <c r="M182">
        <v>736.96</v>
      </c>
      <c r="N182">
        <v>35</v>
      </c>
      <c r="O182">
        <v>50</v>
      </c>
    </row>
    <row r="183" spans="1:15">
      <c r="A183" t="s">
        <v>273</v>
      </c>
      <c r="B183" s="14">
        <v>45409</v>
      </c>
      <c r="C183" t="s">
        <v>96</v>
      </c>
      <c r="D183" t="s">
        <v>97</v>
      </c>
      <c r="E183" t="s">
        <v>67</v>
      </c>
      <c r="G183" t="s">
        <v>88</v>
      </c>
      <c r="H183">
        <v>3</v>
      </c>
      <c r="I183">
        <v>147.34</v>
      </c>
      <c r="J183">
        <v>442.02</v>
      </c>
      <c r="K183">
        <v>83.8</v>
      </c>
      <c r="L183">
        <v>251.4</v>
      </c>
      <c r="M183">
        <v>190.62</v>
      </c>
      <c r="N183">
        <v>147</v>
      </c>
      <c r="O183">
        <v>50</v>
      </c>
    </row>
    <row r="184" spans="1:15">
      <c r="A184" t="s">
        <v>274</v>
      </c>
      <c r="B184" s="14">
        <v>45477</v>
      </c>
      <c r="C184" t="s">
        <v>78</v>
      </c>
      <c r="D184" t="s">
        <v>79</v>
      </c>
      <c r="E184" t="s">
        <v>72</v>
      </c>
      <c r="F184" t="s">
        <v>103</v>
      </c>
      <c r="G184" t="s">
        <v>68</v>
      </c>
      <c r="H184">
        <v>5</v>
      </c>
      <c r="I184">
        <v>230.62</v>
      </c>
      <c r="J184">
        <v>1153.0999999999999</v>
      </c>
      <c r="K184">
        <v>97.74</v>
      </c>
      <c r="L184">
        <v>488.7</v>
      </c>
      <c r="M184">
        <v>664.4</v>
      </c>
      <c r="N184">
        <v>89</v>
      </c>
      <c r="O184">
        <v>30</v>
      </c>
    </row>
    <row r="185" spans="1:15">
      <c r="A185" t="s">
        <v>275</v>
      </c>
      <c r="B185" s="14">
        <v>45507</v>
      </c>
      <c r="C185" t="s">
        <v>59</v>
      </c>
      <c r="D185" t="s">
        <v>60</v>
      </c>
      <c r="E185" t="s">
        <v>61</v>
      </c>
      <c r="F185" t="s">
        <v>103</v>
      </c>
      <c r="G185" t="s">
        <v>99</v>
      </c>
      <c r="H185">
        <v>7</v>
      </c>
      <c r="I185">
        <v>207.82</v>
      </c>
      <c r="J185">
        <v>1454.74</v>
      </c>
      <c r="L185">
        <v>614.39</v>
      </c>
      <c r="M185">
        <v>840.35</v>
      </c>
      <c r="N185">
        <v>35</v>
      </c>
      <c r="O185">
        <v>20</v>
      </c>
    </row>
    <row r="186" spans="1:15">
      <c r="A186" t="s">
        <v>276</v>
      </c>
      <c r="B186" s="14">
        <v>45346</v>
      </c>
      <c r="C186" t="s">
        <v>90</v>
      </c>
      <c r="D186" t="s">
        <v>91</v>
      </c>
      <c r="E186" t="s">
        <v>72</v>
      </c>
      <c r="H186">
        <v>16</v>
      </c>
      <c r="I186">
        <v>210.17</v>
      </c>
      <c r="J186">
        <v>3362.72</v>
      </c>
      <c r="K186">
        <v>157.25</v>
      </c>
      <c r="L186">
        <v>2516</v>
      </c>
      <c r="M186">
        <v>846.72</v>
      </c>
      <c r="N186">
        <v>7</v>
      </c>
      <c r="O186">
        <v>20</v>
      </c>
    </row>
    <row r="187" spans="1:15">
      <c r="A187" t="s">
        <v>277</v>
      </c>
      <c r="B187" s="14">
        <v>45368</v>
      </c>
      <c r="C187" t="s">
        <v>111</v>
      </c>
      <c r="D187" t="s">
        <v>112</v>
      </c>
      <c r="E187" t="s">
        <v>67</v>
      </c>
      <c r="F187" t="s">
        <v>73</v>
      </c>
      <c r="G187" t="s">
        <v>99</v>
      </c>
      <c r="H187">
        <v>16</v>
      </c>
      <c r="I187">
        <v>187.17</v>
      </c>
      <c r="J187">
        <v>2994.72</v>
      </c>
      <c r="L187">
        <v>2094.08</v>
      </c>
      <c r="M187">
        <v>900.64</v>
      </c>
      <c r="N187">
        <v>178</v>
      </c>
      <c r="O187">
        <v>30</v>
      </c>
    </row>
    <row r="188" spans="1:15">
      <c r="A188" t="s">
        <v>278</v>
      </c>
      <c r="B188" s="14">
        <v>45348</v>
      </c>
      <c r="C188" t="s">
        <v>111</v>
      </c>
      <c r="D188" t="s">
        <v>112</v>
      </c>
      <c r="E188" t="s">
        <v>67</v>
      </c>
      <c r="F188" t="s">
        <v>103</v>
      </c>
      <c r="G188" t="s">
        <v>63</v>
      </c>
      <c r="H188">
        <v>2</v>
      </c>
      <c r="I188">
        <v>220.88</v>
      </c>
      <c r="J188">
        <v>441.76</v>
      </c>
      <c r="K188">
        <v>91.19</v>
      </c>
      <c r="L188">
        <v>182.38</v>
      </c>
      <c r="M188">
        <v>259.38</v>
      </c>
      <c r="N188">
        <v>192</v>
      </c>
      <c r="O188">
        <v>20</v>
      </c>
    </row>
    <row r="189" spans="1:15">
      <c r="A189" t="s">
        <v>279</v>
      </c>
      <c r="B189" s="14">
        <v>45424</v>
      </c>
      <c r="C189" t="s">
        <v>70</v>
      </c>
      <c r="D189" t="s">
        <v>71</v>
      </c>
      <c r="E189" t="s">
        <v>72</v>
      </c>
      <c r="F189" t="s">
        <v>128</v>
      </c>
      <c r="G189" t="s">
        <v>74</v>
      </c>
      <c r="H189">
        <v>8</v>
      </c>
      <c r="I189">
        <v>108.8</v>
      </c>
      <c r="K189">
        <v>50.34</v>
      </c>
      <c r="L189">
        <v>402.72</v>
      </c>
      <c r="M189">
        <v>467.68</v>
      </c>
      <c r="N189">
        <v>23</v>
      </c>
      <c r="O189">
        <v>50</v>
      </c>
    </row>
    <row r="190" spans="1:15">
      <c r="A190" t="s">
        <v>280</v>
      </c>
      <c r="B190" s="14">
        <v>45578</v>
      </c>
      <c r="C190" t="s">
        <v>90</v>
      </c>
      <c r="D190" t="s">
        <v>91</v>
      </c>
      <c r="E190" t="s">
        <v>72</v>
      </c>
      <c r="F190" t="s">
        <v>103</v>
      </c>
      <c r="G190" t="s">
        <v>63</v>
      </c>
      <c r="H190">
        <v>15</v>
      </c>
      <c r="I190">
        <v>121.97</v>
      </c>
      <c r="J190">
        <v>1829.55</v>
      </c>
      <c r="K190">
        <v>80.63</v>
      </c>
      <c r="L190">
        <v>1209.45</v>
      </c>
      <c r="M190">
        <v>620.1</v>
      </c>
      <c r="N190">
        <v>103</v>
      </c>
      <c r="O190">
        <v>30</v>
      </c>
    </row>
    <row r="191" spans="1:15">
      <c r="A191" t="s">
        <v>281</v>
      </c>
      <c r="B191" s="14">
        <v>45331</v>
      </c>
      <c r="C191" t="s">
        <v>84</v>
      </c>
      <c r="D191" t="s">
        <v>85</v>
      </c>
      <c r="E191" t="s">
        <v>86</v>
      </c>
      <c r="G191" t="s">
        <v>92</v>
      </c>
      <c r="H191">
        <v>20</v>
      </c>
      <c r="I191">
        <v>195.81</v>
      </c>
      <c r="K191">
        <v>104.6</v>
      </c>
      <c r="L191">
        <v>2092</v>
      </c>
      <c r="M191">
        <v>1824.2</v>
      </c>
      <c r="N191">
        <v>61</v>
      </c>
      <c r="O191">
        <v>30</v>
      </c>
    </row>
    <row r="192" spans="1:15">
      <c r="A192" t="s">
        <v>282</v>
      </c>
      <c r="B192" s="14">
        <v>45388</v>
      </c>
      <c r="C192" t="s">
        <v>59</v>
      </c>
      <c r="D192" t="s">
        <v>60</v>
      </c>
      <c r="E192" t="s">
        <v>61</v>
      </c>
      <c r="F192" t="s">
        <v>62</v>
      </c>
      <c r="G192" t="s">
        <v>92</v>
      </c>
      <c r="H192">
        <v>2</v>
      </c>
      <c r="I192">
        <v>63.88</v>
      </c>
      <c r="L192">
        <v>55.44</v>
      </c>
      <c r="M192">
        <v>72.319999999999993</v>
      </c>
      <c r="N192">
        <v>145</v>
      </c>
      <c r="O192">
        <v>50</v>
      </c>
    </row>
    <row r="193" spans="1:15">
      <c r="A193" t="s">
        <v>283</v>
      </c>
      <c r="B193" s="14">
        <v>45450</v>
      </c>
      <c r="C193" t="s">
        <v>65</v>
      </c>
      <c r="D193" t="s">
        <v>66</v>
      </c>
      <c r="E193" t="s">
        <v>67</v>
      </c>
      <c r="F193" t="s">
        <v>76</v>
      </c>
      <c r="G193" t="s">
        <v>99</v>
      </c>
      <c r="H193">
        <v>12</v>
      </c>
      <c r="I193">
        <v>189.16</v>
      </c>
      <c r="J193">
        <v>2269.92</v>
      </c>
      <c r="L193">
        <v>1778.52</v>
      </c>
      <c r="M193">
        <v>491.4</v>
      </c>
      <c r="N193">
        <v>128</v>
      </c>
      <c r="O193">
        <v>20</v>
      </c>
    </row>
    <row r="194" spans="1:15">
      <c r="A194" t="s">
        <v>284</v>
      </c>
      <c r="B194" s="14">
        <v>45500</v>
      </c>
      <c r="C194" t="s">
        <v>90</v>
      </c>
      <c r="D194" t="s">
        <v>91</v>
      </c>
      <c r="E194" t="s">
        <v>72</v>
      </c>
      <c r="F194" t="s">
        <v>73</v>
      </c>
      <c r="H194">
        <v>17</v>
      </c>
      <c r="I194">
        <v>202.84</v>
      </c>
      <c r="J194">
        <v>3448.28</v>
      </c>
      <c r="K194">
        <v>93.32</v>
      </c>
      <c r="L194">
        <v>1586.44</v>
      </c>
      <c r="M194">
        <v>1861.84</v>
      </c>
      <c r="N194">
        <v>150</v>
      </c>
      <c r="O194">
        <v>30</v>
      </c>
    </row>
    <row r="195" spans="1:15">
      <c r="A195" t="s">
        <v>285</v>
      </c>
      <c r="B195" s="14">
        <v>45332</v>
      </c>
      <c r="C195" t="s">
        <v>90</v>
      </c>
      <c r="D195" t="s">
        <v>91</v>
      </c>
      <c r="E195" t="s">
        <v>72</v>
      </c>
      <c r="F195" t="s">
        <v>103</v>
      </c>
      <c r="G195" t="s">
        <v>92</v>
      </c>
      <c r="H195">
        <v>8</v>
      </c>
      <c r="I195">
        <v>221.68</v>
      </c>
      <c r="J195">
        <v>1773.44</v>
      </c>
      <c r="K195">
        <v>160.27000000000001</v>
      </c>
      <c r="L195">
        <v>1282.1600000000001</v>
      </c>
      <c r="M195">
        <v>491.28</v>
      </c>
      <c r="N195">
        <v>167</v>
      </c>
      <c r="O195">
        <v>20</v>
      </c>
    </row>
    <row r="196" spans="1:15">
      <c r="A196" t="s">
        <v>286</v>
      </c>
      <c r="B196" s="14">
        <v>45466</v>
      </c>
      <c r="C196" t="s">
        <v>78</v>
      </c>
      <c r="D196" t="s">
        <v>79</v>
      </c>
      <c r="E196" t="s">
        <v>72</v>
      </c>
      <c r="F196" t="s">
        <v>128</v>
      </c>
      <c r="G196" t="s">
        <v>74</v>
      </c>
      <c r="H196">
        <v>5</v>
      </c>
      <c r="I196">
        <v>88.06</v>
      </c>
      <c r="K196">
        <v>47.92</v>
      </c>
      <c r="L196">
        <v>239.6</v>
      </c>
      <c r="M196">
        <v>200.7</v>
      </c>
      <c r="N196">
        <v>110</v>
      </c>
      <c r="O196">
        <v>20</v>
      </c>
    </row>
    <row r="197" spans="1:15">
      <c r="A197" t="s">
        <v>287</v>
      </c>
      <c r="B197" s="14">
        <v>45613</v>
      </c>
      <c r="C197" t="s">
        <v>78</v>
      </c>
      <c r="D197" t="s">
        <v>79</v>
      </c>
      <c r="E197" t="s">
        <v>72</v>
      </c>
      <c r="G197" t="s">
        <v>99</v>
      </c>
      <c r="H197">
        <v>4</v>
      </c>
      <c r="I197">
        <v>202.16</v>
      </c>
      <c r="J197">
        <v>808.64</v>
      </c>
      <c r="K197">
        <v>92.4</v>
      </c>
      <c r="L197">
        <v>369.6</v>
      </c>
      <c r="M197">
        <v>439.04</v>
      </c>
      <c r="N197">
        <v>79</v>
      </c>
      <c r="O197">
        <v>50</v>
      </c>
    </row>
    <row r="198" spans="1:15">
      <c r="A198" t="s">
        <v>288</v>
      </c>
      <c r="B198" s="14">
        <v>45435</v>
      </c>
      <c r="C198" t="s">
        <v>84</v>
      </c>
      <c r="D198" t="s">
        <v>85</v>
      </c>
      <c r="E198" t="s">
        <v>86</v>
      </c>
      <c r="F198" t="s">
        <v>82</v>
      </c>
      <c r="G198" t="s">
        <v>99</v>
      </c>
      <c r="H198">
        <v>12</v>
      </c>
      <c r="I198">
        <v>26.86</v>
      </c>
      <c r="J198">
        <v>322.32</v>
      </c>
      <c r="K198">
        <v>12.67</v>
      </c>
      <c r="L198">
        <v>152.04</v>
      </c>
      <c r="M198">
        <v>170.28</v>
      </c>
      <c r="N198">
        <v>197</v>
      </c>
      <c r="O198">
        <v>30</v>
      </c>
    </row>
    <row r="199" spans="1:15">
      <c r="A199" t="s">
        <v>289</v>
      </c>
      <c r="B199" s="14">
        <v>45355</v>
      </c>
      <c r="C199" t="s">
        <v>78</v>
      </c>
      <c r="D199" t="s">
        <v>79</v>
      </c>
      <c r="E199" t="s">
        <v>72</v>
      </c>
      <c r="F199" t="s">
        <v>103</v>
      </c>
      <c r="G199" t="s">
        <v>99</v>
      </c>
      <c r="H199">
        <v>2</v>
      </c>
      <c r="I199">
        <v>94.05</v>
      </c>
      <c r="J199">
        <v>188.1</v>
      </c>
      <c r="K199">
        <v>48.4</v>
      </c>
      <c r="L199">
        <v>96.8</v>
      </c>
      <c r="M199">
        <v>91.3</v>
      </c>
      <c r="N199">
        <v>104</v>
      </c>
      <c r="O199">
        <v>50</v>
      </c>
    </row>
    <row r="200" spans="1:15">
      <c r="A200" t="s">
        <v>290</v>
      </c>
      <c r="B200" s="14">
        <v>45503</v>
      </c>
      <c r="C200" t="s">
        <v>78</v>
      </c>
      <c r="D200" t="s">
        <v>79</v>
      </c>
      <c r="E200" t="s">
        <v>72</v>
      </c>
      <c r="F200" t="s">
        <v>62</v>
      </c>
      <c r="G200" t="s">
        <v>88</v>
      </c>
      <c r="H200">
        <v>9</v>
      </c>
      <c r="I200">
        <v>219.97</v>
      </c>
      <c r="J200">
        <v>1979.73</v>
      </c>
      <c r="K200">
        <v>175.21</v>
      </c>
      <c r="L200">
        <v>1576.89</v>
      </c>
      <c r="M200">
        <v>402.84</v>
      </c>
      <c r="N200">
        <v>10</v>
      </c>
      <c r="O200">
        <v>50</v>
      </c>
    </row>
    <row r="201" spans="1:15">
      <c r="A201" t="s">
        <v>291</v>
      </c>
      <c r="B201" s="14">
        <v>45345</v>
      </c>
      <c r="C201" t="s">
        <v>70</v>
      </c>
      <c r="D201" t="s">
        <v>71</v>
      </c>
      <c r="E201" t="s">
        <v>72</v>
      </c>
      <c r="F201" t="s">
        <v>128</v>
      </c>
      <c r="G201" t="s">
        <v>99</v>
      </c>
      <c r="H201">
        <v>13</v>
      </c>
      <c r="I201">
        <v>43.76</v>
      </c>
      <c r="J201">
        <v>568.88</v>
      </c>
      <c r="K201">
        <v>24.49</v>
      </c>
      <c r="L201">
        <v>318.37</v>
      </c>
      <c r="M201">
        <v>250.51</v>
      </c>
      <c r="N201">
        <v>18</v>
      </c>
      <c r="O201">
        <v>20</v>
      </c>
    </row>
    <row r="202" spans="1:15">
      <c r="A202" t="s">
        <v>292</v>
      </c>
      <c r="B202" s="14">
        <v>45530</v>
      </c>
      <c r="C202" t="s">
        <v>90</v>
      </c>
      <c r="D202" t="s">
        <v>91</v>
      </c>
      <c r="E202" t="s">
        <v>72</v>
      </c>
      <c r="F202" t="s">
        <v>119</v>
      </c>
      <c r="G202" t="s">
        <v>99</v>
      </c>
      <c r="H202">
        <v>3</v>
      </c>
      <c r="I202">
        <v>49.17</v>
      </c>
      <c r="J202">
        <v>147.51</v>
      </c>
      <c r="K202">
        <v>21.8</v>
      </c>
      <c r="L202">
        <v>65.400000000000006</v>
      </c>
      <c r="M202">
        <v>82.11</v>
      </c>
      <c r="N202">
        <v>101</v>
      </c>
      <c r="O202">
        <v>30</v>
      </c>
    </row>
    <row r="203" spans="1:15">
      <c r="A203" t="s">
        <v>293</v>
      </c>
      <c r="B203" s="14">
        <v>45535</v>
      </c>
      <c r="C203" t="s">
        <v>90</v>
      </c>
      <c r="D203" t="s">
        <v>91</v>
      </c>
      <c r="E203" t="s">
        <v>72</v>
      </c>
      <c r="F203" t="s">
        <v>119</v>
      </c>
      <c r="G203" t="s">
        <v>68</v>
      </c>
      <c r="H203">
        <v>9</v>
      </c>
      <c r="I203">
        <v>116.37</v>
      </c>
      <c r="J203">
        <v>1047.33</v>
      </c>
      <c r="L203">
        <v>647.28</v>
      </c>
      <c r="M203">
        <v>400.05</v>
      </c>
      <c r="N203">
        <v>120</v>
      </c>
      <c r="O203">
        <v>20</v>
      </c>
    </row>
    <row r="204" spans="1:15">
      <c r="A204" t="s">
        <v>294</v>
      </c>
      <c r="B204" s="14">
        <v>45477</v>
      </c>
      <c r="C204" t="s">
        <v>96</v>
      </c>
      <c r="D204" t="s">
        <v>97</v>
      </c>
      <c r="E204" t="s">
        <v>67</v>
      </c>
      <c r="F204" t="s">
        <v>128</v>
      </c>
      <c r="G204" t="s">
        <v>68</v>
      </c>
      <c r="H204">
        <v>16</v>
      </c>
      <c r="I204">
        <v>57.29</v>
      </c>
      <c r="J204">
        <v>916.64</v>
      </c>
      <c r="K204">
        <v>27.76</v>
      </c>
      <c r="L204">
        <v>444.16</v>
      </c>
      <c r="M204">
        <v>472.48</v>
      </c>
      <c r="N204">
        <v>5</v>
      </c>
      <c r="O204">
        <v>50</v>
      </c>
    </row>
    <row r="205" spans="1:15">
      <c r="A205" t="s">
        <v>295</v>
      </c>
      <c r="B205" s="14">
        <v>45333</v>
      </c>
      <c r="C205" t="s">
        <v>70</v>
      </c>
      <c r="D205" t="s">
        <v>71</v>
      </c>
      <c r="E205" t="s">
        <v>72</v>
      </c>
      <c r="G205" t="s">
        <v>63</v>
      </c>
      <c r="H205">
        <v>15</v>
      </c>
      <c r="I205">
        <v>218.47</v>
      </c>
      <c r="J205">
        <v>3277.05</v>
      </c>
      <c r="K205">
        <v>133.25</v>
      </c>
      <c r="L205">
        <v>1998.75</v>
      </c>
      <c r="M205">
        <v>1278.3</v>
      </c>
      <c r="N205">
        <v>171</v>
      </c>
      <c r="O205">
        <v>30</v>
      </c>
    </row>
    <row r="206" spans="1:15">
      <c r="A206" t="s">
        <v>296</v>
      </c>
      <c r="B206" s="14">
        <v>45376</v>
      </c>
      <c r="C206" t="s">
        <v>59</v>
      </c>
      <c r="D206" t="s">
        <v>60</v>
      </c>
      <c r="E206" t="s">
        <v>61</v>
      </c>
      <c r="F206" t="s">
        <v>103</v>
      </c>
      <c r="G206" t="s">
        <v>88</v>
      </c>
      <c r="H206">
        <v>12</v>
      </c>
      <c r="I206">
        <v>235.78</v>
      </c>
      <c r="J206">
        <v>2829.36</v>
      </c>
      <c r="K206">
        <v>139.74</v>
      </c>
      <c r="L206">
        <v>1676.88</v>
      </c>
      <c r="M206">
        <v>1152.48</v>
      </c>
      <c r="N206">
        <v>137</v>
      </c>
      <c r="O206">
        <v>50</v>
      </c>
    </row>
    <row r="207" spans="1:15">
      <c r="A207" t="s">
        <v>297</v>
      </c>
      <c r="B207" s="14">
        <v>45579</v>
      </c>
      <c r="C207" t="s">
        <v>59</v>
      </c>
      <c r="D207" t="s">
        <v>60</v>
      </c>
      <c r="E207" t="s">
        <v>61</v>
      </c>
      <c r="F207" t="s">
        <v>76</v>
      </c>
      <c r="G207" t="s">
        <v>63</v>
      </c>
      <c r="H207">
        <v>3</v>
      </c>
      <c r="I207">
        <v>182.07</v>
      </c>
      <c r="J207">
        <v>546.21</v>
      </c>
      <c r="K207">
        <v>114.96</v>
      </c>
      <c r="L207">
        <v>344.88</v>
      </c>
      <c r="M207">
        <v>201.33</v>
      </c>
      <c r="N207">
        <v>37</v>
      </c>
      <c r="O207">
        <v>30</v>
      </c>
    </row>
    <row r="208" spans="1:15">
      <c r="A208" t="s">
        <v>298</v>
      </c>
      <c r="B208" s="14">
        <v>45350</v>
      </c>
      <c r="C208" t="s">
        <v>96</v>
      </c>
      <c r="D208" t="s">
        <v>97</v>
      </c>
      <c r="E208" t="s">
        <v>67</v>
      </c>
      <c r="F208" t="s">
        <v>73</v>
      </c>
      <c r="H208">
        <v>9</v>
      </c>
      <c r="I208">
        <v>132.57</v>
      </c>
      <c r="J208">
        <v>1193.1300000000001</v>
      </c>
      <c r="K208">
        <v>53.22</v>
      </c>
      <c r="L208">
        <v>478.98</v>
      </c>
      <c r="M208">
        <v>714.15</v>
      </c>
      <c r="N208">
        <v>115</v>
      </c>
      <c r="O208">
        <v>20</v>
      </c>
    </row>
    <row r="209" spans="1:15">
      <c r="A209" t="s">
        <v>299</v>
      </c>
      <c r="B209" s="14">
        <v>45507</v>
      </c>
      <c r="C209" t="s">
        <v>111</v>
      </c>
      <c r="D209" t="s">
        <v>112</v>
      </c>
      <c r="E209" t="s">
        <v>67</v>
      </c>
      <c r="F209" t="s">
        <v>62</v>
      </c>
      <c r="H209">
        <v>20</v>
      </c>
      <c r="I209">
        <v>97.5</v>
      </c>
      <c r="J209">
        <v>1950</v>
      </c>
      <c r="K209">
        <v>52.58</v>
      </c>
      <c r="L209">
        <v>1051.5999999999999</v>
      </c>
      <c r="M209">
        <v>898.4</v>
      </c>
      <c r="N209">
        <v>48</v>
      </c>
      <c r="O209">
        <v>50</v>
      </c>
    </row>
    <row r="210" spans="1:15">
      <c r="A210" t="s">
        <v>300</v>
      </c>
      <c r="B210" s="14">
        <v>45355</v>
      </c>
      <c r="C210" t="s">
        <v>78</v>
      </c>
      <c r="D210" t="s">
        <v>79</v>
      </c>
      <c r="E210" t="s">
        <v>72</v>
      </c>
      <c r="F210" t="s">
        <v>76</v>
      </c>
      <c r="G210" t="s">
        <v>63</v>
      </c>
      <c r="H210">
        <v>15</v>
      </c>
      <c r="I210">
        <v>106.44</v>
      </c>
      <c r="J210">
        <v>1596.6</v>
      </c>
      <c r="K210">
        <v>57.55</v>
      </c>
      <c r="L210">
        <v>863.25</v>
      </c>
      <c r="M210">
        <v>733.35</v>
      </c>
      <c r="N210">
        <v>138</v>
      </c>
      <c r="O210">
        <v>30</v>
      </c>
    </row>
    <row r="211" spans="1:15">
      <c r="A211" t="s">
        <v>301</v>
      </c>
      <c r="B211" s="14">
        <v>45375</v>
      </c>
      <c r="C211" t="s">
        <v>96</v>
      </c>
      <c r="D211" t="s">
        <v>97</v>
      </c>
      <c r="E211" t="s">
        <v>67</v>
      </c>
      <c r="F211" t="s">
        <v>82</v>
      </c>
      <c r="G211" t="s">
        <v>88</v>
      </c>
      <c r="H211">
        <v>13</v>
      </c>
      <c r="I211">
        <v>74.83</v>
      </c>
      <c r="J211">
        <v>972.79</v>
      </c>
      <c r="K211">
        <v>49.68</v>
      </c>
      <c r="L211">
        <v>645.84</v>
      </c>
      <c r="M211">
        <v>326.95</v>
      </c>
      <c r="N211">
        <v>174</v>
      </c>
      <c r="O211">
        <v>30</v>
      </c>
    </row>
    <row r="212" spans="1:15">
      <c r="A212" t="s">
        <v>302</v>
      </c>
      <c r="B212" s="14">
        <v>45345</v>
      </c>
      <c r="C212" t="s">
        <v>90</v>
      </c>
      <c r="D212" t="s">
        <v>91</v>
      </c>
      <c r="E212" t="s">
        <v>72</v>
      </c>
      <c r="F212" t="s">
        <v>106</v>
      </c>
      <c r="G212" t="s">
        <v>88</v>
      </c>
      <c r="H212">
        <v>1</v>
      </c>
      <c r="I212">
        <v>155.97999999999999</v>
      </c>
      <c r="K212">
        <v>88.05</v>
      </c>
      <c r="L212">
        <v>88.05</v>
      </c>
      <c r="M212">
        <v>67.930000000000007</v>
      </c>
      <c r="N212">
        <v>127</v>
      </c>
      <c r="O212">
        <v>50</v>
      </c>
    </row>
    <row r="213" spans="1:15">
      <c r="A213" t="s">
        <v>303</v>
      </c>
      <c r="B213" s="14">
        <v>45507</v>
      </c>
      <c r="C213" t="s">
        <v>59</v>
      </c>
      <c r="D213" t="s">
        <v>60</v>
      </c>
      <c r="E213" t="s">
        <v>61</v>
      </c>
      <c r="F213" t="s">
        <v>73</v>
      </c>
      <c r="G213" t="s">
        <v>63</v>
      </c>
      <c r="H213">
        <v>8</v>
      </c>
      <c r="I213">
        <v>195.34</v>
      </c>
      <c r="J213">
        <v>1562.72</v>
      </c>
      <c r="K213">
        <v>121.23</v>
      </c>
      <c r="L213">
        <v>969.84</v>
      </c>
      <c r="M213">
        <v>592.88</v>
      </c>
      <c r="N213">
        <v>29</v>
      </c>
      <c r="O213">
        <v>20</v>
      </c>
    </row>
    <row r="214" spans="1:15">
      <c r="A214" t="s">
        <v>304</v>
      </c>
      <c r="B214" s="14">
        <v>45622</v>
      </c>
      <c r="C214" t="s">
        <v>96</v>
      </c>
      <c r="D214" t="s">
        <v>97</v>
      </c>
      <c r="E214" t="s">
        <v>67</v>
      </c>
      <c r="F214" t="s">
        <v>82</v>
      </c>
      <c r="G214" t="s">
        <v>88</v>
      </c>
      <c r="H214">
        <v>1</v>
      </c>
      <c r="I214">
        <v>235.21</v>
      </c>
      <c r="J214">
        <v>235.21</v>
      </c>
      <c r="K214">
        <v>167.68</v>
      </c>
      <c r="L214">
        <v>167.68</v>
      </c>
      <c r="M214">
        <v>67.53</v>
      </c>
      <c r="N214">
        <v>129</v>
      </c>
      <c r="O214">
        <v>30</v>
      </c>
    </row>
    <row r="215" spans="1:15">
      <c r="A215" t="s">
        <v>305</v>
      </c>
      <c r="B215" s="14">
        <v>45415</v>
      </c>
      <c r="C215" t="s">
        <v>65</v>
      </c>
      <c r="D215" t="s">
        <v>66</v>
      </c>
      <c r="E215" t="s">
        <v>67</v>
      </c>
      <c r="F215" t="s">
        <v>76</v>
      </c>
      <c r="G215" t="s">
        <v>68</v>
      </c>
      <c r="H215">
        <v>14</v>
      </c>
      <c r="I215">
        <v>13.01</v>
      </c>
      <c r="J215">
        <v>182.14</v>
      </c>
      <c r="K215">
        <v>5.34</v>
      </c>
      <c r="L215">
        <v>74.760000000000005</v>
      </c>
      <c r="M215">
        <v>107.38</v>
      </c>
      <c r="N215">
        <v>95</v>
      </c>
      <c r="O215">
        <v>50</v>
      </c>
    </row>
    <row r="216" spans="1:15">
      <c r="A216" t="s">
        <v>306</v>
      </c>
      <c r="B216" s="14">
        <v>45492</v>
      </c>
      <c r="C216" t="s">
        <v>59</v>
      </c>
      <c r="D216" t="s">
        <v>60</v>
      </c>
      <c r="E216" t="s">
        <v>61</v>
      </c>
      <c r="F216" t="s">
        <v>103</v>
      </c>
      <c r="G216" t="s">
        <v>88</v>
      </c>
      <c r="H216">
        <v>20</v>
      </c>
      <c r="I216">
        <v>162.88999999999999</v>
      </c>
      <c r="J216">
        <v>3257.8</v>
      </c>
      <c r="K216">
        <v>119.14</v>
      </c>
      <c r="L216">
        <v>2382.8000000000002</v>
      </c>
      <c r="M216">
        <v>875</v>
      </c>
      <c r="N216">
        <v>147</v>
      </c>
      <c r="O216">
        <v>30</v>
      </c>
    </row>
    <row r="217" spans="1:15">
      <c r="A217" t="s">
        <v>307</v>
      </c>
      <c r="B217" s="14">
        <v>45373</v>
      </c>
      <c r="C217" t="s">
        <v>96</v>
      </c>
      <c r="D217" t="s">
        <v>97</v>
      </c>
      <c r="E217" t="s">
        <v>67</v>
      </c>
      <c r="F217" t="s">
        <v>128</v>
      </c>
      <c r="G217" t="s">
        <v>88</v>
      </c>
      <c r="H217">
        <v>8</v>
      </c>
      <c r="I217">
        <v>29.4</v>
      </c>
      <c r="J217">
        <v>235.2</v>
      </c>
      <c r="K217">
        <v>21.18</v>
      </c>
      <c r="L217">
        <v>169.44</v>
      </c>
      <c r="M217">
        <v>65.760000000000005</v>
      </c>
      <c r="N217">
        <v>129</v>
      </c>
      <c r="O217">
        <v>20</v>
      </c>
    </row>
    <row r="218" spans="1:15">
      <c r="A218" t="s">
        <v>308</v>
      </c>
      <c r="B218" s="14">
        <v>45339</v>
      </c>
      <c r="C218" t="s">
        <v>90</v>
      </c>
      <c r="D218" t="s">
        <v>91</v>
      </c>
      <c r="E218" t="s">
        <v>72</v>
      </c>
      <c r="F218" t="s">
        <v>62</v>
      </c>
      <c r="G218" t="s">
        <v>92</v>
      </c>
      <c r="H218">
        <v>1</v>
      </c>
      <c r="I218">
        <v>112.17</v>
      </c>
      <c r="K218">
        <v>73.09</v>
      </c>
      <c r="L218">
        <v>73.09</v>
      </c>
      <c r="M218">
        <v>39.08</v>
      </c>
      <c r="N218">
        <v>151</v>
      </c>
      <c r="O218">
        <v>20</v>
      </c>
    </row>
    <row r="219" spans="1:15">
      <c r="A219" t="s">
        <v>309</v>
      </c>
      <c r="B219" s="14">
        <v>45358</v>
      </c>
      <c r="C219" t="s">
        <v>78</v>
      </c>
      <c r="D219" t="s">
        <v>79</v>
      </c>
      <c r="E219" t="s">
        <v>72</v>
      </c>
      <c r="F219" t="s">
        <v>119</v>
      </c>
      <c r="G219" t="s">
        <v>92</v>
      </c>
      <c r="H219">
        <v>12</v>
      </c>
      <c r="I219">
        <v>50.71</v>
      </c>
      <c r="J219">
        <v>608.52</v>
      </c>
      <c r="K219">
        <v>33.520000000000003</v>
      </c>
      <c r="L219">
        <v>402.24</v>
      </c>
      <c r="M219">
        <v>206.28</v>
      </c>
      <c r="N219">
        <v>56</v>
      </c>
      <c r="O219">
        <v>30</v>
      </c>
    </row>
    <row r="220" spans="1:15">
      <c r="A220" t="s">
        <v>310</v>
      </c>
      <c r="B220" s="14">
        <v>45425</v>
      </c>
      <c r="C220" t="s">
        <v>65</v>
      </c>
      <c r="D220" t="s">
        <v>66</v>
      </c>
      <c r="E220" t="s">
        <v>67</v>
      </c>
      <c r="F220" t="s">
        <v>106</v>
      </c>
      <c r="G220" t="s">
        <v>63</v>
      </c>
      <c r="H220">
        <v>9</v>
      </c>
      <c r="I220">
        <v>25.33</v>
      </c>
      <c r="J220">
        <v>227.97</v>
      </c>
      <c r="K220">
        <v>11.59</v>
      </c>
      <c r="L220">
        <v>104.31</v>
      </c>
      <c r="M220">
        <v>123.66</v>
      </c>
      <c r="N220">
        <v>5</v>
      </c>
      <c r="O220">
        <v>50</v>
      </c>
    </row>
    <row r="221" spans="1:15">
      <c r="A221" t="s">
        <v>311</v>
      </c>
      <c r="B221" s="14">
        <v>45384</v>
      </c>
      <c r="C221" t="s">
        <v>90</v>
      </c>
      <c r="D221" t="s">
        <v>91</v>
      </c>
      <c r="E221" t="s">
        <v>72</v>
      </c>
      <c r="F221" t="s">
        <v>106</v>
      </c>
      <c r="G221" t="s">
        <v>99</v>
      </c>
      <c r="H221">
        <v>3</v>
      </c>
      <c r="I221">
        <v>126.09</v>
      </c>
      <c r="J221">
        <v>378.27</v>
      </c>
      <c r="K221">
        <v>68.66</v>
      </c>
      <c r="L221">
        <v>205.98</v>
      </c>
      <c r="M221">
        <v>172.29</v>
      </c>
      <c r="N221">
        <v>53</v>
      </c>
      <c r="O221">
        <v>30</v>
      </c>
    </row>
    <row r="222" spans="1:15">
      <c r="A222" t="s">
        <v>312</v>
      </c>
      <c r="B222" s="14">
        <v>45399</v>
      </c>
      <c r="C222" t="s">
        <v>96</v>
      </c>
      <c r="D222" t="s">
        <v>97</v>
      </c>
      <c r="E222" t="s">
        <v>67</v>
      </c>
      <c r="G222" t="s">
        <v>68</v>
      </c>
      <c r="H222">
        <v>13</v>
      </c>
      <c r="I222">
        <v>222.98</v>
      </c>
      <c r="J222">
        <v>2898.74</v>
      </c>
      <c r="K222">
        <v>145.69999999999999</v>
      </c>
      <c r="L222">
        <v>1894.1</v>
      </c>
      <c r="M222">
        <v>1004.64</v>
      </c>
      <c r="N222">
        <v>115</v>
      </c>
      <c r="O222">
        <v>20</v>
      </c>
    </row>
    <row r="223" spans="1:15">
      <c r="A223" t="s">
        <v>313</v>
      </c>
      <c r="B223" s="14">
        <v>45308</v>
      </c>
      <c r="C223" t="s">
        <v>90</v>
      </c>
      <c r="D223" t="s">
        <v>91</v>
      </c>
      <c r="E223" t="s">
        <v>72</v>
      </c>
      <c r="F223" t="s">
        <v>62</v>
      </c>
      <c r="G223" t="s">
        <v>74</v>
      </c>
      <c r="H223">
        <v>11</v>
      </c>
      <c r="I223">
        <v>248.47</v>
      </c>
      <c r="J223">
        <v>2733.17</v>
      </c>
      <c r="K223">
        <v>147.47999999999999</v>
      </c>
      <c r="L223">
        <v>1622.28</v>
      </c>
      <c r="M223">
        <v>1110.8900000000001</v>
      </c>
      <c r="N223">
        <v>157</v>
      </c>
      <c r="O223">
        <v>50</v>
      </c>
    </row>
    <row r="224" spans="1:15">
      <c r="A224" t="s">
        <v>314</v>
      </c>
      <c r="B224" s="14">
        <v>45566</v>
      </c>
      <c r="C224" t="s">
        <v>65</v>
      </c>
      <c r="D224" t="s">
        <v>66</v>
      </c>
      <c r="E224" t="s">
        <v>67</v>
      </c>
      <c r="F224" t="s">
        <v>119</v>
      </c>
      <c r="G224" t="s">
        <v>63</v>
      </c>
      <c r="H224">
        <v>17</v>
      </c>
      <c r="I224">
        <v>130.38</v>
      </c>
      <c r="J224">
        <v>2216.46</v>
      </c>
      <c r="K224">
        <v>60.1</v>
      </c>
      <c r="L224">
        <v>1021.7</v>
      </c>
      <c r="M224">
        <v>1194.76</v>
      </c>
      <c r="N224">
        <v>93</v>
      </c>
      <c r="O224">
        <v>20</v>
      </c>
    </row>
    <row r="225" spans="1:15">
      <c r="A225" t="s">
        <v>315</v>
      </c>
      <c r="B225" s="14">
        <v>45429</v>
      </c>
      <c r="C225" t="s">
        <v>70</v>
      </c>
      <c r="D225" t="s">
        <v>71</v>
      </c>
      <c r="E225" t="s">
        <v>72</v>
      </c>
      <c r="F225" t="s">
        <v>82</v>
      </c>
      <c r="G225" t="s">
        <v>99</v>
      </c>
      <c r="H225">
        <v>16</v>
      </c>
      <c r="I225">
        <v>53.81</v>
      </c>
      <c r="J225">
        <v>860.96</v>
      </c>
      <c r="K225">
        <v>23.5</v>
      </c>
      <c r="L225">
        <v>376</v>
      </c>
      <c r="M225">
        <v>484.96</v>
      </c>
      <c r="N225">
        <v>181</v>
      </c>
      <c r="O225">
        <v>50</v>
      </c>
    </row>
    <row r="226" spans="1:15">
      <c r="A226" t="s">
        <v>316</v>
      </c>
      <c r="B226" s="14">
        <v>45390</v>
      </c>
      <c r="C226" t="s">
        <v>70</v>
      </c>
      <c r="D226" t="s">
        <v>71</v>
      </c>
      <c r="E226" t="s">
        <v>72</v>
      </c>
      <c r="F226" t="s">
        <v>128</v>
      </c>
      <c r="G226" t="s">
        <v>63</v>
      </c>
      <c r="H226">
        <v>6</v>
      </c>
      <c r="I226">
        <v>53.48</v>
      </c>
      <c r="J226">
        <v>320.88</v>
      </c>
      <c r="K226">
        <v>39.49</v>
      </c>
      <c r="L226">
        <v>236.94</v>
      </c>
      <c r="M226">
        <v>83.94</v>
      </c>
      <c r="N226">
        <v>183</v>
      </c>
      <c r="O226">
        <v>30</v>
      </c>
    </row>
    <row r="227" spans="1:15">
      <c r="A227" t="s">
        <v>317</v>
      </c>
      <c r="B227" s="14">
        <v>45541</v>
      </c>
      <c r="C227" t="s">
        <v>96</v>
      </c>
      <c r="D227" t="s">
        <v>97</v>
      </c>
      <c r="E227" t="s">
        <v>67</v>
      </c>
      <c r="F227" t="s">
        <v>106</v>
      </c>
      <c r="G227" t="s">
        <v>92</v>
      </c>
      <c r="H227">
        <v>15</v>
      </c>
      <c r="I227">
        <v>108.82</v>
      </c>
      <c r="J227">
        <v>1632.3</v>
      </c>
      <c r="K227">
        <v>76.05</v>
      </c>
      <c r="L227">
        <v>1140.75</v>
      </c>
      <c r="M227">
        <v>491.55</v>
      </c>
      <c r="N227">
        <v>81</v>
      </c>
      <c r="O227">
        <v>50</v>
      </c>
    </row>
    <row r="228" spans="1:15">
      <c r="A228" t="s">
        <v>318</v>
      </c>
      <c r="B228" s="14">
        <v>45324</v>
      </c>
      <c r="C228" t="s">
        <v>78</v>
      </c>
      <c r="D228" t="s">
        <v>79</v>
      </c>
      <c r="E228" t="s">
        <v>72</v>
      </c>
      <c r="F228" t="s">
        <v>128</v>
      </c>
      <c r="G228" t="s">
        <v>68</v>
      </c>
      <c r="H228">
        <v>6</v>
      </c>
      <c r="I228">
        <v>222.92</v>
      </c>
      <c r="J228">
        <v>1337.52</v>
      </c>
      <c r="K228">
        <v>174.6</v>
      </c>
      <c r="L228">
        <v>1047.5999999999999</v>
      </c>
      <c r="M228">
        <v>289.92</v>
      </c>
      <c r="N228">
        <v>64</v>
      </c>
      <c r="O228">
        <v>50</v>
      </c>
    </row>
    <row r="229" spans="1:15">
      <c r="A229" t="s">
        <v>319</v>
      </c>
      <c r="B229" s="14">
        <v>45495</v>
      </c>
      <c r="C229" t="s">
        <v>65</v>
      </c>
      <c r="D229" t="s">
        <v>66</v>
      </c>
      <c r="E229" t="s">
        <v>67</v>
      </c>
      <c r="F229" t="s">
        <v>119</v>
      </c>
      <c r="G229" t="s">
        <v>63</v>
      </c>
      <c r="H229">
        <v>4</v>
      </c>
      <c r="I229">
        <v>49.08</v>
      </c>
      <c r="J229">
        <v>196.32</v>
      </c>
      <c r="K229">
        <v>25.97</v>
      </c>
      <c r="L229">
        <v>103.88</v>
      </c>
      <c r="M229">
        <v>92.44</v>
      </c>
      <c r="N229">
        <v>47</v>
      </c>
      <c r="O229">
        <v>30</v>
      </c>
    </row>
    <row r="230" spans="1:15">
      <c r="A230" t="s">
        <v>320</v>
      </c>
      <c r="B230" s="14">
        <v>45296</v>
      </c>
      <c r="C230" t="s">
        <v>84</v>
      </c>
      <c r="D230" t="s">
        <v>85</v>
      </c>
      <c r="E230" t="s">
        <v>86</v>
      </c>
      <c r="G230" t="s">
        <v>92</v>
      </c>
      <c r="H230">
        <v>1</v>
      </c>
      <c r="I230">
        <v>180.62</v>
      </c>
      <c r="J230">
        <v>180.62</v>
      </c>
      <c r="K230">
        <v>87.69</v>
      </c>
      <c r="L230">
        <v>87.69</v>
      </c>
      <c r="M230">
        <v>92.93</v>
      </c>
      <c r="N230">
        <v>145</v>
      </c>
      <c r="O230">
        <v>30</v>
      </c>
    </row>
    <row r="231" spans="1:15">
      <c r="A231" t="s">
        <v>321</v>
      </c>
      <c r="B231" s="14">
        <v>45579</v>
      </c>
      <c r="C231" t="s">
        <v>70</v>
      </c>
      <c r="D231" t="s">
        <v>71</v>
      </c>
      <c r="E231" t="s">
        <v>72</v>
      </c>
      <c r="F231" t="s">
        <v>128</v>
      </c>
      <c r="G231" t="s">
        <v>88</v>
      </c>
      <c r="H231">
        <v>20</v>
      </c>
      <c r="I231">
        <v>236.84</v>
      </c>
      <c r="J231">
        <v>4736.8</v>
      </c>
      <c r="K231">
        <v>171.23</v>
      </c>
      <c r="L231">
        <v>3424.6</v>
      </c>
      <c r="M231">
        <v>1312.2</v>
      </c>
      <c r="N231">
        <v>171</v>
      </c>
      <c r="O231">
        <v>20</v>
      </c>
    </row>
    <row r="232" spans="1:15">
      <c r="A232" t="s">
        <v>322</v>
      </c>
      <c r="B232" s="14">
        <v>45544</v>
      </c>
      <c r="C232" t="s">
        <v>78</v>
      </c>
      <c r="D232" t="s">
        <v>79</v>
      </c>
      <c r="E232" t="s">
        <v>72</v>
      </c>
      <c r="F232" t="s">
        <v>103</v>
      </c>
      <c r="G232" t="s">
        <v>92</v>
      </c>
      <c r="H232">
        <v>2</v>
      </c>
      <c r="I232">
        <v>247.61</v>
      </c>
      <c r="J232">
        <v>495.22</v>
      </c>
      <c r="K232">
        <v>140.77000000000001</v>
      </c>
      <c r="L232">
        <v>281.54000000000002</v>
      </c>
      <c r="M232">
        <v>213.68</v>
      </c>
      <c r="N232">
        <v>31</v>
      </c>
      <c r="O232">
        <v>30</v>
      </c>
    </row>
    <row r="233" spans="1:15">
      <c r="A233" t="s">
        <v>323</v>
      </c>
      <c r="B233" s="14">
        <v>45621</v>
      </c>
      <c r="C233" t="s">
        <v>65</v>
      </c>
      <c r="D233" t="s">
        <v>66</v>
      </c>
      <c r="E233" t="s">
        <v>67</v>
      </c>
      <c r="F233" t="s">
        <v>62</v>
      </c>
      <c r="H233">
        <v>15</v>
      </c>
      <c r="I233">
        <v>74.67</v>
      </c>
      <c r="K233">
        <v>55.01</v>
      </c>
      <c r="L233">
        <v>825.15</v>
      </c>
      <c r="M233">
        <v>294.89999999999998</v>
      </c>
      <c r="N233">
        <v>103</v>
      </c>
      <c r="O233">
        <v>20</v>
      </c>
    </row>
    <row r="234" spans="1:15">
      <c r="A234" t="s">
        <v>324</v>
      </c>
      <c r="B234" s="14">
        <v>45446</v>
      </c>
      <c r="C234" t="s">
        <v>70</v>
      </c>
      <c r="D234" t="s">
        <v>71</v>
      </c>
      <c r="E234" t="s">
        <v>72</v>
      </c>
      <c r="G234" t="s">
        <v>92</v>
      </c>
      <c r="H234">
        <v>11</v>
      </c>
      <c r="I234">
        <v>189.65</v>
      </c>
      <c r="J234">
        <v>2086.15</v>
      </c>
      <c r="K234">
        <v>106.23</v>
      </c>
      <c r="L234">
        <v>1168.53</v>
      </c>
      <c r="M234">
        <v>917.62</v>
      </c>
      <c r="N234">
        <v>142</v>
      </c>
      <c r="O234">
        <v>30</v>
      </c>
    </row>
    <row r="235" spans="1:15">
      <c r="A235" t="s">
        <v>325</v>
      </c>
      <c r="B235" s="14">
        <v>45620</v>
      </c>
      <c r="C235" t="s">
        <v>90</v>
      </c>
      <c r="D235" t="s">
        <v>91</v>
      </c>
      <c r="E235" t="s">
        <v>72</v>
      </c>
      <c r="G235" t="s">
        <v>74</v>
      </c>
      <c r="H235">
        <v>12</v>
      </c>
      <c r="I235">
        <v>234.74</v>
      </c>
      <c r="J235">
        <v>2816.88</v>
      </c>
      <c r="K235">
        <v>103.54</v>
      </c>
      <c r="L235">
        <v>1242.48</v>
      </c>
      <c r="M235">
        <v>1574.4</v>
      </c>
      <c r="N235">
        <v>57</v>
      </c>
      <c r="O235">
        <v>20</v>
      </c>
    </row>
    <row r="236" spans="1:15">
      <c r="A236" t="s">
        <v>326</v>
      </c>
      <c r="B236" s="14">
        <v>45379</v>
      </c>
      <c r="C236" t="s">
        <v>90</v>
      </c>
      <c r="D236" t="s">
        <v>91</v>
      </c>
      <c r="E236" t="s">
        <v>72</v>
      </c>
      <c r="F236" t="s">
        <v>62</v>
      </c>
      <c r="H236">
        <v>7</v>
      </c>
      <c r="I236">
        <v>182.41</v>
      </c>
      <c r="K236">
        <v>132.22999999999999</v>
      </c>
      <c r="L236">
        <v>925.61</v>
      </c>
      <c r="M236">
        <v>351.26</v>
      </c>
      <c r="N236">
        <v>137</v>
      </c>
      <c r="O236">
        <v>20</v>
      </c>
    </row>
    <row r="237" spans="1:15">
      <c r="A237" t="s">
        <v>327</v>
      </c>
      <c r="B237" s="14">
        <v>45427</v>
      </c>
      <c r="C237" t="s">
        <v>84</v>
      </c>
      <c r="D237" t="s">
        <v>85</v>
      </c>
      <c r="E237" t="s">
        <v>86</v>
      </c>
      <c r="F237" t="s">
        <v>103</v>
      </c>
      <c r="G237" t="s">
        <v>92</v>
      </c>
      <c r="H237">
        <v>20</v>
      </c>
      <c r="I237">
        <v>198.95</v>
      </c>
      <c r="J237">
        <v>3979</v>
      </c>
      <c r="K237">
        <v>109.79</v>
      </c>
      <c r="L237">
        <v>2195.8000000000002</v>
      </c>
      <c r="M237">
        <v>1783.2</v>
      </c>
      <c r="N237">
        <v>178</v>
      </c>
      <c r="O237">
        <v>20</v>
      </c>
    </row>
    <row r="238" spans="1:15">
      <c r="A238" t="s">
        <v>328</v>
      </c>
      <c r="B238" s="14">
        <v>45503</v>
      </c>
      <c r="C238" t="s">
        <v>78</v>
      </c>
      <c r="D238" t="s">
        <v>79</v>
      </c>
      <c r="E238" t="s">
        <v>72</v>
      </c>
      <c r="F238" t="s">
        <v>73</v>
      </c>
      <c r="G238" t="s">
        <v>68</v>
      </c>
      <c r="H238">
        <v>4</v>
      </c>
      <c r="I238">
        <v>132.83000000000001</v>
      </c>
      <c r="J238">
        <v>531.32000000000005</v>
      </c>
      <c r="K238">
        <v>65.91</v>
      </c>
      <c r="L238">
        <v>263.64</v>
      </c>
      <c r="M238">
        <v>267.68</v>
      </c>
      <c r="N238">
        <v>122</v>
      </c>
      <c r="O238">
        <v>50</v>
      </c>
    </row>
    <row r="239" spans="1:15">
      <c r="A239" t="s">
        <v>329</v>
      </c>
      <c r="B239" s="14">
        <v>45443</v>
      </c>
      <c r="C239" t="s">
        <v>90</v>
      </c>
      <c r="D239" t="s">
        <v>91</v>
      </c>
      <c r="E239" t="s">
        <v>72</v>
      </c>
      <c r="G239" t="s">
        <v>88</v>
      </c>
      <c r="H239">
        <v>12</v>
      </c>
      <c r="I239">
        <v>141.84</v>
      </c>
      <c r="L239">
        <v>1275.1199999999999</v>
      </c>
      <c r="M239">
        <v>426.96</v>
      </c>
      <c r="N239">
        <v>168</v>
      </c>
      <c r="O239">
        <v>50</v>
      </c>
    </row>
    <row r="240" spans="1:15">
      <c r="A240" t="s">
        <v>330</v>
      </c>
      <c r="B240" s="14">
        <v>45402</v>
      </c>
      <c r="C240" t="s">
        <v>78</v>
      </c>
      <c r="D240" t="s">
        <v>79</v>
      </c>
      <c r="E240" t="s">
        <v>72</v>
      </c>
      <c r="F240" t="s">
        <v>76</v>
      </c>
      <c r="G240" t="s">
        <v>68</v>
      </c>
      <c r="H240">
        <v>13</v>
      </c>
      <c r="I240">
        <v>51.04</v>
      </c>
      <c r="J240">
        <v>663.52</v>
      </c>
      <c r="K240">
        <v>22.55</v>
      </c>
      <c r="L240">
        <v>293.14999999999998</v>
      </c>
      <c r="M240">
        <v>370.37</v>
      </c>
      <c r="N240">
        <v>53</v>
      </c>
      <c r="O240">
        <v>50</v>
      </c>
    </row>
    <row r="241" spans="1:15">
      <c r="A241" t="s">
        <v>331</v>
      </c>
      <c r="B241" s="14">
        <v>45358</v>
      </c>
      <c r="C241" t="s">
        <v>59</v>
      </c>
      <c r="D241" t="s">
        <v>60</v>
      </c>
      <c r="E241" t="s">
        <v>61</v>
      </c>
      <c r="F241" t="s">
        <v>119</v>
      </c>
      <c r="G241" t="s">
        <v>99</v>
      </c>
      <c r="H241">
        <v>12</v>
      </c>
      <c r="I241">
        <v>99.47</v>
      </c>
      <c r="J241">
        <v>1193.6400000000001</v>
      </c>
      <c r="K241">
        <v>57.79</v>
      </c>
      <c r="L241">
        <v>693.48</v>
      </c>
      <c r="M241">
        <v>500.16</v>
      </c>
      <c r="N241">
        <v>158</v>
      </c>
      <c r="O241">
        <v>50</v>
      </c>
    </row>
    <row r="242" spans="1:15">
      <c r="A242" t="s">
        <v>332</v>
      </c>
      <c r="B242" s="14">
        <v>45587</v>
      </c>
      <c r="C242" t="s">
        <v>90</v>
      </c>
      <c r="D242" t="s">
        <v>91</v>
      </c>
      <c r="E242" t="s">
        <v>72</v>
      </c>
      <c r="F242" t="s">
        <v>62</v>
      </c>
      <c r="H242">
        <v>5</v>
      </c>
      <c r="I242">
        <v>117.93</v>
      </c>
      <c r="J242">
        <v>589.65</v>
      </c>
      <c r="K242">
        <v>52.23</v>
      </c>
      <c r="L242">
        <v>261.14999999999998</v>
      </c>
      <c r="M242">
        <v>328.5</v>
      </c>
      <c r="N242">
        <v>28</v>
      </c>
      <c r="O242">
        <v>20</v>
      </c>
    </row>
    <row r="243" spans="1:15">
      <c r="A243" t="s">
        <v>333</v>
      </c>
      <c r="B243" s="14">
        <v>45427</v>
      </c>
      <c r="C243" t="s">
        <v>90</v>
      </c>
      <c r="D243" t="s">
        <v>91</v>
      </c>
      <c r="E243" t="s">
        <v>72</v>
      </c>
      <c r="F243" t="s">
        <v>128</v>
      </c>
      <c r="G243" t="s">
        <v>92</v>
      </c>
      <c r="H243">
        <v>18</v>
      </c>
      <c r="I243">
        <v>25.6</v>
      </c>
      <c r="J243">
        <v>460.8</v>
      </c>
      <c r="L243">
        <v>263.88</v>
      </c>
      <c r="M243">
        <v>196.92</v>
      </c>
      <c r="N243">
        <v>38</v>
      </c>
      <c r="O243">
        <v>30</v>
      </c>
    </row>
    <row r="244" spans="1:15">
      <c r="A244" t="s">
        <v>334</v>
      </c>
      <c r="B244" s="14">
        <v>45487</v>
      </c>
      <c r="C244" t="s">
        <v>96</v>
      </c>
      <c r="D244" t="s">
        <v>97</v>
      </c>
      <c r="E244" t="s">
        <v>67</v>
      </c>
      <c r="F244" t="s">
        <v>73</v>
      </c>
      <c r="G244" t="s">
        <v>92</v>
      </c>
      <c r="H244">
        <v>7</v>
      </c>
      <c r="I244">
        <v>77.03</v>
      </c>
      <c r="J244">
        <v>539.21</v>
      </c>
      <c r="K244">
        <v>43.22</v>
      </c>
      <c r="L244">
        <v>302.54000000000002</v>
      </c>
      <c r="M244">
        <v>236.67</v>
      </c>
      <c r="N244">
        <v>152</v>
      </c>
      <c r="O244">
        <v>30</v>
      </c>
    </row>
    <row r="245" spans="1:15">
      <c r="A245" t="s">
        <v>335</v>
      </c>
      <c r="B245" s="14">
        <v>45404</v>
      </c>
      <c r="C245" t="s">
        <v>90</v>
      </c>
      <c r="D245" t="s">
        <v>91</v>
      </c>
      <c r="E245" t="s">
        <v>72</v>
      </c>
      <c r="F245" t="s">
        <v>106</v>
      </c>
      <c r="G245" t="s">
        <v>68</v>
      </c>
      <c r="H245">
        <v>2</v>
      </c>
      <c r="I245">
        <v>224.29</v>
      </c>
      <c r="J245">
        <v>448.58</v>
      </c>
      <c r="K245">
        <v>141.32</v>
      </c>
      <c r="L245">
        <v>282.64</v>
      </c>
      <c r="M245">
        <v>165.94</v>
      </c>
      <c r="N245">
        <v>61</v>
      </c>
      <c r="O245">
        <v>20</v>
      </c>
    </row>
    <row r="246" spans="1:15">
      <c r="A246" t="s">
        <v>336</v>
      </c>
      <c r="B246" s="14">
        <v>45343</v>
      </c>
      <c r="C246" t="s">
        <v>59</v>
      </c>
      <c r="D246" t="s">
        <v>60</v>
      </c>
      <c r="E246" t="s">
        <v>61</v>
      </c>
      <c r="F246" t="s">
        <v>82</v>
      </c>
      <c r="G246" t="s">
        <v>88</v>
      </c>
      <c r="H246">
        <v>9</v>
      </c>
      <c r="I246">
        <v>126.32</v>
      </c>
      <c r="K246">
        <v>59.17</v>
      </c>
      <c r="L246">
        <v>532.53</v>
      </c>
      <c r="M246">
        <v>604.35</v>
      </c>
      <c r="N246">
        <v>52</v>
      </c>
      <c r="O246">
        <v>30</v>
      </c>
    </row>
    <row r="247" spans="1:15">
      <c r="A247" t="s">
        <v>337</v>
      </c>
      <c r="B247" s="14">
        <v>45610</v>
      </c>
      <c r="C247" t="s">
        <v>78</v>
      </c>
      <c r="D247" t="s">
        <v>79</v>
      </c>
      <c r="E247" t="s">
        <v>72</v>
      </c>
      <c r="F247" t="s">
        <v>106</v>
      </c>
      <c r="G247" t="s">
        <v>74</v>
      </c>
      <c r="H247">
        <v>10</v>
      </c>
      <c r="I247">
        <v>213.88</v>
      </c>
      <c r="J247">
        <v>2138.8000000000002</v>
      </c>
      <c r="L247">
        <v>1444.1</v>
      </c>
      <c r="M247">
        <v>694.7</v>
      </c>
      <c r="N247">
        <v>43</v>
      </c>
      <c r="O247">
        <v>30</v>
      </c>
    </row>
    <row r="248" spans="1:15">
      <c r="A248" t="s">
        <v>338</v>
      </c>
      <c r="B248" s="14">
        <v>45534</v>
      </c>
      <c r="C248" t="s">
        <v>96</v>
      </c>
      <c r="D248" t="s">
        <v>97</v>
      </c>
      <c r="E248" t="s">
        <v>67</v>
      </c>
      <c r="F248" t="s">
        <v>62</v>
      </c>
      <c r="G248" t="s">
        <v>92</v>
      </c>
      <c r="H248">
        <v>11</v>
      </c>
      <c r="I248">
        <v>10.1</v>
      </c>
      <c r="K248">
        <v>7.98</v>
      </c>
      <c r="L248">
        <v>87.78</v>
      </c>
      <c r="M248">
        <v>23.32</v>
      </c>
      <c r="N248">
        <v>19</v>
      </c>
      <c r="O248">
        <v>20</v>
      </c>
    </row>
    <row r="249" spans="1:15">
      <c r="A249" t="s">
        <v>339</v>
      </c>
      <c r="B249" s="14">
        <v>45533</v>
      </c>
      <c r="C249" t="s">
        <v>90</v>
      </c>
      <c r="D249" t="s">
        <v>91</v>
      </c>
      <c r="E249" t="s">
        <v>72</v>
      </c>
      <c r="F249" t="s">
        <v>103</v>
      </c>
      <c r="H249">
        <v>2</v>
      </c>
      <c r="I249">
        <v>205.64</v>
      </c>
      <c r="J249">
        <v>411.28</v>
      </c>
      <c r="K249">
        <v>128.91999999999999</v>
      </c>
      <c r="L249">
        <v>257.83999999999997</v>
      </c>
      <c r="M249">
        <v>153.44</v>
      </c>
      <c r="N249">
        <v>74</v>
      </c>
      <c r="O249">
        <v>20</v>
      </c>
    </row>
    <row r="250" spans="1:15">
      <c r="A250" t="s">
        <v>340</v>
      </c>
      <c r="B250" s="14">
        <v>45543</v>
      </c>
      <c r="C250" t="s">
        <v>84</v>
      </c>
      <c r="D250" t="s">
        <v>85</v>
      </c>
      <c r="E250" t="s">
        <v>86</v>
      </c>
      <c r="F250" t="s">
        <v>62</v>
      </c>
      <c r="G250" t="s">
        <v>68</v>
      </c>
      <c r="H250">
        <v>18</v>
      </c>
      <c r="I250">
        <v>68.05</v>
      </c>
      <c r="J250">
        <v>1224.9000000000001</v>
      </c>
      <c r="K250">
        <v>40.46</v>
      </c>
      <c r="L250">
        <v>728.28</v>
      </c>
      <c r="M250">
        <v>496.62</v>
      </c>
      <c r="N250">
        <v>93</v>
      </c>
      <c r="O250">
        <v>30</v>
      </c>
    </row>
    <row r="251" spans="1:15">
      <c r="A251" t="s">
        <v>341</v>
      </c>
      <c r="B251" s="14">
        <v>45597</v>
      </c>
      <c r="C251" t="s">
        <v>78</v>
      </c>
      <c r="D251" t="s">
        <v>79</v>
      </c>
      <c r="E251" t="s">
        <v>72</v>
      </c>
      <c r="F251" t="s">
        <v>103</v>
      </c>
      <c r="G251" t="s">
        <v>99</v>
      </c>
      <c r="H251">
        <v>4</v>
      </c>
      <c r="I251">
        <v>71.13</v>
      </c>
      <c r="J251">
        <v>284.52</v>
      </c>
      <c r="K251">
        <v>43.23</v>
      </c>
      <c r="L251">
        <v>172.92</v>
      </c>
      <c r="M251">
        <v>111.6</v>
      </c>
      <c r="N251">
        <v>163</v>
      </c>
      <c r="O251">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1"/>
  <sheetViews>
    <sheetView topLeftCell="E1" workbookViewId="0">
      <selection activeCell="G9" sqref="G9"/>
    </sheetView>
  </sheetViews>
  <sheetFormatPr defaultColWidth="9" defaultRowHeight="15"/>
  <cols>
    <col min="1" max="1" width="10.5703125" style="4" customWidth="1"/>
    <col min="2" max="2" width="20.5703125" style="5" customWidth="1"/>
    <col min="3" max="3" width="12.7109375" style="4" customWidth="1"/>
    <col min="4" max="4" width="18.85546875" style="4" customWidth="1"/>
    <col min="5" max="5" width="15.28515625" style="4" customWidth="1"/>
    <col min="6" max="6" width="13.140625" style="4" customWidth="1"/>
    <col min="7" max="7" width="17.42578125" style="4" customWidth="1"/>
    <col min="8" max="8" width="17.85546875" style="6" customWidth="1"/>
    <col min="9" max="9" width="12" style="7" customWidth="1"/>
    <col min="10" max="10" width="12.5703125" style="7" customWidth="1"/>
    <col min="11" max="11" width="14.7109375" style="7" customWidth="1"/>
    <col min="12" max="12" width="12.28515625" style="7" customWidth="1"/>
    <col min="13" max="13" width="12.7109375" style="7" customWidth="1"/>
    <col min="14" max="14" width="21.5703125" style="6" customWidth="1"/>
    <col min="15" max="15" width="16.7109375" style="6" customWidth="1"/>
    <col min="16" max="16" width="12.42578125" customWidth="1"/>
  </cols>
  <sheetData>
    <row r="1" spans="1:16">
      <c r="A1" s="9" t="s">
        <v>43</v>
      </c>
      <c r="B1" s="10" t="s">
        <v>44</v>
      </c>
      <c r="C1" s="9" t="s">
        <v>45</v>
      </c>
      <c r="D1" s="9" t="s">
        <v>46</v>
      </c>
      <c r="E1" s="9" t="s">
        <v>47</v>
      </c>
      <c r="F1" s="9" t="s">
        <v>48</v>
      </c>
      <c r="G1" s="9" t="s">
        <v>49</v>
      </c>
      <c r="H1" s="11" t="s">
        <v>50</v>
      </c>
      <c r="I1" s="12" t="s">
        <v>51</v>
      </c>
      <c r="J1" s="12" t="s">
        <v>52</v>
      </c>
      <c r="K1" s="12" t="s">
        <v>53</v>
      </c>
      <c r="L1" s="12" t="s">
        <v>54</v>
      </c>
      <c r="M1" s="12" t="s">
        <v>55</v>
      </c>
      <c r="N1" s="11" t="s">
        <v>56</v>
      </c>
      <c r="O1" s="11" t="s">
        <v>57</v>
      </c>
    </row>
    <row r="2" spans="1:16">
      <c r="A2" s="4" t="s">
        <v>58</v>
      </c>
      <c r="B2" s="5">
        <v>45567</v>
      </c>
      <c r="C2" s="4" t="s">
        <v>59</v>
      </c>
      <c r="D2" s="4" t="s">
        <v>60</v>
      </c>
      <c r="E2" s="4" t="s">
        <v>61</v>
      </c>
      <c r="F2" s="4" t="s">
        <v>62</v>
      </c>
      <c r="G2" s="4" t="s">
        <v>63</v>
      </c>
      <c r="H2" s="6">
        <v>3</v>
      </c>
      <c r="I2" s="7">
        <v>78.72</v>
      </c>
      <c r="J2" s="7">
        <v>236.16</v>
      </c>
      <c r="K2" s="7">
        <v>46.08</v>
      </c>
      <c r="L2" s="7">
        <v>138.24</v>
      </c>
      <c r="M2" s="7">
        <v>97.92</v>
      </c>
      <c r="N2" s="6">
        <v>121</v>
      </c>
      <c r="O2" s="6">
        <v>30</v>
      </c>
    </row>
    <row r="3" spans="1:16">
      <c r="A3" s="4" t="s">
        <v>64</v>
      </c>
      <c r="B3" s="5">
        <v>45533</v>
      </c>
      <c r="C3" s="4" t="s">
        <v>65</v>
      </c>
      <c r="D3" s="4" t="s">
        <v>66</v>
      </c>
      <c r="E3" s="4" t="s">
        <v>67</v>
      </c>
      <c r="F3" s="4" t="s">
        <v>62</v>
      </c>
      <c r="G3" s="4" t="s">
        <v>68</v>
      </c>
      <c r="H3" s="6">
        <v>15</v>
      </c>
      <c r="I3" s="7">
        <v>148.38</v>
      </c>
      <c r="J3" s="7">
        <v>2225.6999999999998</v>
      </c>
      <c r="K3" s="7">
        <v>71.3</v>
      </c>
      <c r="L3" s="7">
        <v>1069.5</v>
      </c>
      <c r="M3" s="7">
        <v>1156.2</v>
      </c>
      <c r="N3" s="6">
        <v>145</v>
      </c>
      <c r="O3" s="6">
        <v>30</v>
      </c>
    </row>
    <row r="4" spans="1:16">
      <c r="A4" s="4" t="s">
        <v>69</v>
      </c>
      <c r="B4" s="5">
        <v>45545</v>
      </c>
      <c r="C4" s="4" t="s">
        <v>70</v>
      </c>
      <c r="D4" s="4" t="s">
        <v>71</v>
      </c>
      <c r="E4" s="4" t="s">
        <v>72</v>
      </c>
      <c r="F4" s="4" t="s">
        <v>82</v>
      </c>
      <c r="G4" s="4" t="s">
        <v>74</v>
      </c>
      <c r="H4" s="6">
        <v>2</v>
      </c>
      <c r="I4" s="7">
        <v>124.44</v>
      </c>
      <c r="J4" s="7">
        <v>248.88</v>
      </c>
      <c r="K4" s="7">
        <v>73.97</v>
      </c>
      <c r="L4" s="7">
        <v>147.94</v>
      </c>
      <c r="M4" s="7">
        <v>100.94</v>
      </c>
      <c r="N4" s="6">
        <v>151</v>
      </c>
      <c r="O4" s="6">
        <v>50</v>
      </c>
    </row>
    <row r="5" spans="1:16">
      <c r="A5" s="4" t="s">
        <v>75</v>
      </c>
      <c r="B5" s="5">
        <v>45324</v>
      </c>
      <c r="C5" s="4" t="s">
        <v>70</v>
      </c>
      <c r="D5" s="4" t="s">
        <v>71</v>
      </c>
      <c r="E5" s="4" t="s">
        <v>72</v>
      </c>
      <c r="F5" s="4" t="s">
        <v>76</v>
      </c>
      <c r="G5" s="4" t="s">
        <v>88</v>
      </c>
      <c r="H5" s="6">
        <v>14</v>
      </c>
      <c r="I5" s="7">
        <v>222.84</v>
      </c>
      <c r="J5" s="7">
        <v>3119.76</v>
      </c>
      <c r="K5" s="7">
        <v>99.56</v>
      </c>
      <c r="L5" s="7">
        <v>1393.84</v>
      </c>
      <c r="M5" s="7">
        <v>1725.92</v>
      </c>
      <c r="N5" s="6">
        <v>159</v>
      </c>
      <c r="O5" s="6">
        <v>50</v>
      </c>
    </row>
    <row r="6" spans="1:16">
      <c r="A6" s="4" t="s">
        <v>77</v>
      </c>
      <c r="B6" s="5">
        <v>45468</v>
      </c>
      <c r="C6" s="4" t="s">
        <v>78</v>
      </c>
      <c r="D6" s="4" t="s">
        <v>79</v>
      </c>
      <c r="E6" s="4" t="s">
        <v>72</v>
      </c>
      <c r="F6" s="4" t="s">
        <v>82</v>
      </c>
      <c r="G6" s="4" t="s">
        <v>74</v>
      </c>
      <c r="H6" s="6">
        <v>8</v>
      </c>
      <c r="I6" s="7">
        <v>129.37</v>
      </c>
      <c r="J6" s="7">
        <v>1034.96</v>
      </c>
      <c r="K6" s="7">
        <v>82.16</v>
      </c>
      <c r="L6" s="7">
        <v>657.28</v>
      </c>
      <c r="M6" s="7">
        <v>377.68</v>
      </c>
      <c r="N6" s="6">
        <v>175</v>
      </c>
      <c r="O6" s="6">
        <v>30</v>
      </c>
    </row>
    <row r="7" spans="1:16">
      <c r="A7" s="4" t="s">
        <v>80</v>
      </c>
      <c r="B7" s="5">
        <v>45476</v>
      </c>
      <c r="C7" s="4" t="s">
        <v>78</v>
      </c>
      <c r="D7" s="4" t="s">
        <v>79</v>
      </c>
      <c r="E7" s="4" t="s">
        <v>72</v>
      </c>
      <c r="F7" s="4" t="s">
        <v>82</v>
      </c>
      <c r="G7" s="4" t="s">
        <v>74</v>
      </c>
      <c r="H7" s="6">
        <v>6</v>
      </c>
      <c r="I7" s="7">
        <v>157.35</v>
      </c>
      <c r="J7" s="7">
        <v>944.1</v>
      </c>
      <c r="K7" s="7">
        <v>80.72</v>
      </c>
      <c r="L7" s="7">
        <v>484.32</v>
      </c>
      <c r="M7" s="7">
        <v>459.78</v>
      </c>
      <c r="N7" s="6">
        <v>191</v>
      </c>
      <c r="O7" s="6">
        <v>20</v>
      </c>
      <c r="P7" s="7"/>
    </row>
    <row r="8" spans="1:16">
      <c r="A8" s="4" t="s">
        <v>81</v>
      </c>
      <c r="B8" s="5">
        <v>45544</v>
      </c>
      <c r="C8" s="4" t="s">
        <v>70</v>
      </c>
      <c r="D8" s="4" t="s">
        <v>71</v>
      </c>
      <c r="E8" s="4" t="s">
        <v>72</v>
      </c>
      <c r="F8" s="4" t="s">
        <v>82</v>
      </c>
      <c r="G8" s="4" t="s">
        <v>68</v>
      </c>
      <c r="H8" s="6">
        <v>8</v>
      </c>
      <c r="I8" s="7">
        <v>56.31</v>
      </c>
      <c r="J8" s="7">
        <v>450.48</v>
      </c>
      <c r="K8" s="7">
        <v>23.58</v>
      </c>
      <c r="L8" s="7">
        <v>188.64</v>
      </c>
      <c r="M8" s="7">
        <v>261.83999999999997</v>
      </c>
      <c r="N8" s="6">
        <v>4</v>
      </c>
      <c r="O8" s="6">
        <v>30</v>
      </c>
    </row>
    <row r="9" spans="1:16">
      <c r="A9" s="4" t="s">
        <v>83</v>
      </c>
      <c r="B9" s="5">
        <v>45324</v>
      </c>
      <c r="C9" s="4" t="s">
        <v>84</v>
      </c>
      <c r="D9" s="4" t="s">
        <v>85</v>
      </c>
      <c r="E9" s="4" t="s">
        <v>86</v>
      </c>
      <c r="F9" s="4" t="s">
        <v>82</v>
      </c>
      <c r="G9" s="4" t="s">
        <v>68</v>
      </c>
      <c r="H9" s="6">
        <v>14</v>
      </c>
      <c r="I9" s="7">
        <v>32.92</v>
      </c>
      <c r="J9" s="7">
        <v>460.88</v>
      </c>
      <c r="K9" s="7">
        <v>16.149999999999999</v>
      </c>
      <c r="L9" s="7">
        <v>226.1</v>
      </c>
      <c r="M9" s="7">
        <v>234.78</v>
      </c>
      <c r="N9" s="6">
        <v>143</v>
      </c>
      <c r="O9" s="6">
        <v>20</v>
      </c>
    </row>
    <row r="10" spans="1:16">
      <c r="A10" s="4" t="s">
        <v>87</v>
      </c>
      <c r="B10" s="5">
        <v>45577</v>
      </c>
      <c r="C10" s="4" t="s">
        <v>70</v>
      </c>
      <c r="D10" s="4" t="s">
        <v>71</v>
      </c>
      <c r="E10" s="4" t="s">
        <v>72</v>
      </c>
      <c r="F10" s="4" t="s">
        <v>62</v>
      </c>
      <c r="G10" s="4" t="s">
        <v>88</v>
      </c>
      <c r="H10" s="6">
        <v>5</v>
      </c>
      <c r="I10" s="7">
        <v>214.08</v>
      </c>
      <c r="J10" s="7">
        <v>1070.4000000000001</v>
      </c>
      <c r="K10" s="7">
        <v>160.44999999999999</v>
      </c>
      <c r="L10" s="7">
        <v>802.25</v>
      </c>
      <c r="M10" s="7">
        <v>268.14999999999998</v>
      </c>
      <c r="N10" s="6">
        <v>154</v>
      </c>
      <c r="O10" s="6">
        <v>50</v>
      </c>
    </row>
    <row r="11" spans="1:16">
      <c r="A11" s="4" t="s">
        <v>89</v>
      </c>
      <c r="B11" s="5">
        <v>45348</v>
      </c>
      <c r="C11" s="4" t="s">
        <v>90</v>
      </c>
      <c r="D11" s="4" t="s">
        <v>91</v>
      </c>
      <c r="E11" s="4" t="s">
        <v>72</v>
      </c>
      <c r="F11" s="4" t="s">
        <v>62</v>
      </c>
      <c r="G11" s="4" t="s">
        <v>92</v>
      </c>
      <c r="H11" s="6">
        <v>20</v>
      </c>
      <c r="I11" s="7">
        <v>154.37</v>
      </c>
      <c r="J11" s="7">
        <v>3087.4</v>
      </c>
      <c r="K11" s="7">
        <v>114.75</v>
      </c>
      <c r="L11" s="7">
        <v>2295</v>
      </c>
      <c r="M11" s="7">
        <v>792.4</v>
      </c>
      <c r="N11" s="6">
        <v>26</v>
      </c>
      <c r="O11" s="6">
        <v>50</v>
      </c>
    </row>
    <row r="12" spans="1:16">
      <c r="A12" s="4" t="s">
        <v>93</v>
      </c>
      <c r="B12" s="5">
        <v>45372</v>
      </c>
      <c r="C12" s="4" t="s">
        <v>70</v>
      </c>
      <c r="D12" s="4" t="s">
        <v>71</v>
      </c>
      <c r="E12" s="4" t="s">
        <v>72</v>
      </c>
      <c r="F12" s="4" t="s">
        <v>76</v>
      </c>
      <c r="G12" s="4" t="s">
        <v>68</v>
      </c>
      <c r="H12" s="6">
        <v>15</v>
      </c>
      <c r="I12" s="7">
        <v>191.68</v>
      </c>
      <c r="J12" s="7">
        <v>2875.2</v>
      </c>
      <c r="K12" s="7">
        <v>114.88</v>
      </c>
      <c r="L12" s="7">
        <v>1723.2</v>
      </c>
      <c r="M12" s="7">
        <v>1152</v>
      </c>
      <c r="N12" s="6">
        <v>25</v>
      </c>
      <c r="O12" s="6">
        <v>20</v>
      </c>
    </row>
    <row r="13" spans="1:16">
      <c r="A13" s="4" t="s">
        <v>94</v>
      </c>
      <c r="B13" s="5">
        <v>45295</v>
      </c>
      <c r="C13" s="4" t="s">
        <v>59</v>
      </c>
      <c r="D13" s="4" t="s">
        <v>60</v>
      </c>
      <c r="E13" s="4" t="s">
        <v>61</v>
      </c>
      <c r="F13" s="4" t="s">
        <v>76</v>
      </c>
      <c r="G13" s="4" t="s">
        <v>88</v>
      </c>
      <c r="H13" s="6">
        <v>16</v>
      </c>
      <c r="I13" s="7">
        <v>88.62</v>
      </c>
      <c r="J13" s="7">
        <v>1417.92</v>
      </c>
      <c r="K13" s="7">
        <v>53.35</v>
      </c>
      <c r="L13" s="7">
        <v>853.6</v>
      </c>
      <c r="M13" s="7">
        <v>564.32000000000005</v>
      </c>
      <c r="N13" s="6">
        <v>21</v>
      </c>
      <c r="O13" s="6">
        <v>30</v>
      </c>
    </row>
    <row r="14" spans="1:16">
      <c r="A14" s="4" t="s">
        <v>95</v>
      </c>
      <c r="B14" s="5">
        <v>45563</v>
      </c>
      <c r="C14" s="4" t="s">
        <v>96</v>
      </c>
      <c r="D14" s="4" t="s">
        <v>97</v>
      </c>
      <c r="E14" s="4" t="s">
        <v>67</v>
      </c>
      <c r="F14" s="4" t="s">
        <v>76</v>
      </c>
      <c r="G14" s="4" t="s">
        <v>63</v>
      </c>
      <c r="H14" s="6">
        <v>8</v>
      </c>
      <c r="I14" s="7">
        <v>38.81</v>
      </c>
      <c r="J14" s="7">
        <v>310.48</v>
      </c>
      <c r="K14" s="7">
        <v>22.18</v>
      </c>
      <c r="L14" s="7">
        <v>177.44</v>
      </c>
      <c r="M14" s="7">
        <v>133.04</v>
      </c>
      <c r="N14" s="6">
        <v>104</v>
      </c>
      <c r="O14" s="6">
        <v>30</v>
      </c>
    </row>
    <row r="15" spans="1:16">
      <c r="A15" s="4" t="s">
        <v>98</v>
      </c>
      <c r="B15" s="5">
        <v>45327</v>
      </c>
      <c r="C15" s="4" t="s">
        <v>90</v>
      </c>
      <c r="D15" s="4" t="s">
        <v>91</v>
      </c>
      <c r="E15" s="4" t="s">
        <v>72</v>
      </c>
      <c r="F15" s="4" t="s">
        <v>62</v>
      </c>
      <c r="G15" s="4" t="s">
        <v>99</v>
      </c>
      <c r="H15" s="6">
        <v>11</v>
      </c>
      <c r="I15" s="7">
        <v>82.13</v>
      </c>
      <c r="J15" s="7">
        <v>903.43</v>
      </c>
      <c r="K15" s="7">
        <v>65.11</v>
      </c>
      <c r="L15" s="7">
        <v>716.21</v>
      </c>
      <c r="M15" s="7">
        <v>187.22</v>
      </c>
      <c r="N15" s="6">
        <v>42</v>
      </c>
      <c r="O15" s="6">
        <v>30</v>
      </c>
    </row>
    <row r="16" spans="1:16">
      <c r="A16" s="4" t="s">
        <v>100</v>
      </c>
      <c r="B16" s="5">
        <v>45321</v>
      </c>
      <c r="C16" s="4" t="s">
        <v>70</v>
      </c>
      <c r="D16" s="4" t="s">
        <v>71</v>
      </c>
      <c r="E16" s="4" t="s">
        <v>72</v>
      </c>
      <c r="F16" s="4" t="s">
        <v>62</v>
      </c>
      <c r="G16" s="4" t="s">
        <v>68</v>
      </c>
      <c r="H16" s="6">
        <v>14</v>
      </c>
      <c r="I16" s="7">
        <v>103.49</v>
      </c>
      <c r="J16" s="7">
        <v>1448.86</v>
      </c>
      <c r="K16" s="7">
        <v>69.58</v>
      </c>
      <c r="L16" s="7">
        <v>974.12</v>
      </c>
      <c r="M16" s="7">
        <v>474.74</v>
      </c>
      <c r="N16" s="6">
        <v>141</v>
      </c>
      <c r="O16" s="6">
        <v>30</v>
      </c>
    </row>
    <row r="17" spans="1:15">
      <c r="A17" s="4" t="s">
        <v>101</v>
      </c>
      <c r="B17" s="5">
        <v>45498</v>
      </c>
      <c r="C17" s="4" t="s">
        <v>78</v>
      </c>
      <c r="D17" s="4" t="s">
        <v>79</v>
      </c>
      <c r="E17" s="4" t="s">
        <v>72</v>
      </c>
      <c r="F17" s="4" t="s">
        <v>82</v>
      </c>
      <c r="G17" s="4" t="s">
        <v>88</v>
      </c>
      <c r="H17" s="6">
        <v>7</v>
      </c>
      <c r="I17" s="7">
        <v>222.46</v>
      </c>
      <c r="J17" s="7">
        <v>1557.22</v>
      </c>
      <c r="K17" s="7">
        <v>144.54</v>
      </c>
      <c r="L17" s="7">
        <v>1011.78</v>
      </c>
      <c r="M17" s="7">
        <v>545.44000000000005</v>
      </c>
      <c r="N17" s="6">
        <v>158</v>
      </c>
      <c r="O17" s="6">
        <v>50</v>
      </c>
    </row>
    <row r="18" spans="1:15">
      <c r="A18" s="4" t="s">
        <v>102</v>
      </c>
      <c r="B18" s="5">
        <v>45446</v>
      </c>
      <c r="C18" s="4" t="s">
        <v>90</v>
      </c>
      <c r="D18" s="4" t="s">
        <v>91</v>
      </c>
      <c r="E18" s="4" t="s">
        <v>72</v>
      </c>
      <c r="F18" s="4" t="s">
        <v>103</v>
      </c>
      <c r="G18" s="4" t="s">
        <v>92</v>
      </c>
      <c r="H18" s="6">
        <v>2</v>
      </c>
      <c r="I18" s="7">
        <v>136.66999999999999</v>
      </c>
      <c r="J18" s="7">
        <v>1182</v>
      </c>
      <c r="K18" s="7">
        <v>75.989999999999995</v>
      </c>
      <c r="L18" s="7">
        <v>151.97999999999999</v>
      </c>
      <c r="M18" s="7">
        <v>121.36</v>
      </c>
      <c r="N18" s="6">
        <v>184</v>
      </c>
      <c r="O18" s="6">
        <v>50</v>
      </c>
    </row>
    <row r="19" spans="1:15">
      <c r="A19" s="4" t="s">
        <v>104</v>
      </c>
      <c r="B19" s="5">
        <v>45558</v>
      </c>
      <c r="C19" s="4" t="s">
        <v>84</v>
      </c>
      <c r="D19" s="4" t="s">
        <v>85</v>
      </c>
      <c r="E19" s="4" t="s">
        <v>86</v>
      </c>
      <c r="F19" s="4" t="s">
        <v>82</v>
      </c>
      <c r="G19" s="4" t="s">
        <v>74</v>
      </c>
      <c r="H19" s="6">
        <v>6</v>
      </c>
      <c r="I19" s="7">
        <v>10.74</v>
      </c>
      <c r="J19" s="7">
        <v>64.44</v>
      </c>
      <c r="K19" s="7">
        <v>8.1199999999999992</v>
      </c>
      <c r="L19" s="7">
        <v>48.72</v>
      </c>
      <c r="M19" s="7">
        <v>15.72</v>
      </c>
      <c r="N19" s="6">
        <v>138</v>
      </c>
      <c r="O19" s="6">
        <v>50</v>
      </c>
    </row>
    <row r="20" spans="1:15">
      <c r="A20" s="4" t="s">
        <v>105</v>
      </c>
      <c r="B20" s="5">
        <v>45322</v>
      </c>
      <c r="C20" s="4" t="s">
        <v>84</v>
      </c>
      <c r="D20" s="4" t="s">
        <v>85</v>
      </c>
      <c r="E20" s="4" t="s">
        <v>86</v>
      </c>
      <c r="F20" s="4" t="s">
        <v>106</v>
      </c>
      <c r="G20" s="4" t="s">
        <v>99</v>
      </c>
      <c r="H20" s="6">
        <v>9</v>
      </c>
      <c r="I20" s="7">
        <v>158.61000000000001</v>
      </c>
      <c r="J20" s="7">
        <v>1427.49</v>
      </c>
      <c r="K20" s="7">
        <v>85.93</v>
      </c>
      <c r="L20" s="7">
        <v>773.37</v>
      </c>
      <c r="M20" s="7">
        <v>654.12</v>
      </c>
      <c r="N20" s="6">
        <v>12</v>
      </c>
      <c r="O20" s="6">
        <v>50</v>
      </c>
    </row>
    <row r="21" spans="1:15">
      <c r="A21" s="4" t="s">
        <v>107</v>
      </c>
      <c r="B21" s="5">
        <v>45589</v>
      </c>
      <c r="C21" s="4" t="s">
        <v>59</v>
      </c>
      <c r="D21" s="4" t="s">
        <v>60</v>
      </c>
      <c r="E21" s="4" t="s">
        <v>61</v>
      </c>
      <c r="F21" s="4" t="s">
        <v>103</v>
      </c>
      <c r="G21" s="4" t="s">
        <v>88</v>
      </c>
      <c r="H21" s="6">
        <v>12</v>
      </c>
      <c r="I21" s="7">
        <v>78.3</v>
      </c>
      <c r="J21" s="7">
        <v>939.6</v>
      </c>
      <c r="K21" s="7">
        <v>52.21</v>
      </c>
      <c r="L21" s="7">
        <v>626.52</v>
      </c>
      <c r="M21" s="7">
        <v>313.08</v>
      </c>
      <c r="N21" s="6">
        <v>183</v>
      </c>
      <c r="O21" s="6">
        <v>50</v>
      </c>
    </row>
    <row r="22" spans="1:15">
      <c r="A22" s="4" t="s">
        <v>108</v>
      </c>
      <c r="B22" s="5">
        <v>45390</v>
      </c>
      <c r="C22" s="4" t="s">
        <v>84</v>
      </c>
      <c r="D22" s="4" t="s">
        <v>85</v>
      </c>
      <c r="E22" s="4" t="s">
        <v>86</v>
      </c>
      <c r="F22" s="4" t="s">
        <v>106</v>
      </c>
      <c r="G22" s="4" t="s">
        <v>63</v>
      </c>
      <c r="H22" s="6">
        <v>15</v>
      </c>
      <c r="I22" s="7">
        <v>29.01</v>
      </c>
      <c r="J22" s="7">
        <v>435.15</v>
      </c>
      <c r="K22" s="7">
        <v>71.95</v>
      </c>
      <c r="L22" s="7">
        <v>297.89999999999998</v>
      </c>
      <c r="M22" s="7">
        <v>137.25</v>
      </c>
      <c r="N22" s="6">
        <v>105</v>
      </c>
      <c r="O22" s="6">
        <v>20</v>
      </c>
    </row>
    <row r="23" spans="1:15">
      <c r="A23" s="4" t="s">
        <v>109</v>
      </c>
      <c r="B23" s="5">
        <v>45561</v>
      </c>
      <c r="C23" s="4" t="s">
        <v>96</v>
      </c>
      <c r="D23" s="4" t="s">
        <v>97</v>
      </c>
      <c r="E23" s="4" t="s">
        <v>67</v>
      </c>
      <c r="F23" s="4" t="s">
        <v>82</v>
      </c>
      <c r="G23" s="4" t="s">
        <v>88</v>
      </c>
      <c r="H23" s="6">
        <v>19</v>
      </c>
      <c r="I23" s="7">
        <v>141.94999999999999</v>
      </c>
      <c r="J23" s="7">
        <v>2697.05</v>
      </c>
      <c r="K23" s="7">
        <v>101</v>
      </c>
      <c r="L23" s="7">
        <v>1919</v>
      </c>
      <c r="M23" s="7">
        <v>778.05</v>
      </c>
      <c r="N23" s="6">
        <v>67</v>
      </c>
      <c r="O23" s="6">
        <v>50</v>
      </c>
    </row>
    <row r="24" spans="1:15">
      <c r="A24" s="4" t="s">
        <v>110</v>
      </c>
      <c r="B24" s="5">
        <v>45505</v>
      </c>
      <c r="C24" s="4" t="s">
        <v>111</v>
      </c>
      <c r="D24" s="4" t="s">
        <v>112</v>
      </c>
      <c r="E24" s="4" t="s">
        <v>67</v>
      </c>
      <c r="F24" s="4" t="s">
        <v>106</v>
      </c>
      <c r="G24" s="4" t="s">
        <v>88</v>
      </c>
      <c r="H24" s="6">
        <v>5</v>
      </c>
      <c r="I24" s="7">
        <v>128.91999999999999</v>
      </c>
      <c r="J24" s="7">
        <v>644.6</v>
      </c>
      <c r="K24" s="7">
        <v>76.569999999999993</v>
      </c>
      <c r="L24" s="7">
        <v>382.85</v>
      </c>
      <c r="M24" s="7">
        <v>261.75</v>
      </c>
      <c r="N24" s="6">
        <v>117</v>
      </c>
      <c r="O24" s="6">
        <v>20</v>
      </c>
    </row>
    <row r="25" spans="1:15">
      <c r="A25" s="4" t="s">
        <v>113</v>
      </c>
      <c r="B25" s="5">
        <v>45481</v>
      </c>
      <c r="C25" s="4" t="s">
        <v>90</v>
      </c>
      <c r="D25" s="4" t="s">
        <v>91</v>
      </c>
      <c r="E25" s="4" t="s">
        <v>72</v>
      </c>
      <c r="F25" s="4" t="s">
        <v>82</v>
      </c>
      <c r="G25" s="4" t="s">
        <v>88</v>
      </c>
      <c r="H25" s="6">
        <v>20</v>
      </c>
      <c r="I25" s="7">
        <v>213.82</v>
      </c>
      <c r="J25" s="7">
        <v>4276.3999999999996</v>
      </c>
      <c r="K25" s="7">
        <v>94.96</v>
      </c>
      <c r="L25" s="7">
        <v>1899.2</v>
      </c>
      <c r="M25" s="7">
        <v>2377.1999999999998</v>
      </c>
      <c r="N25" s="6">
        <v>94</v>
      </c>
      <c r="O25" s="6">
        <v>50</v>
      </c>
    </row>
    <row r="26" spans="1:15">
      <c r="A26" s="4" t="s">
        <v>114</v>
      </c>
      <c r="B26" s="5">
        <v>45442</v>
      </c>
      <c r="C26" s="4" t="s">
        <v>78</v>
      </c>
      <c r="D26" s="4" t="s">
        <v>79</v>
      </c>
      <c r="E26" s="4" t="s">
        <v>72</v>
      </c>
      <c r="F26" s="4" t="s">
        <v>62</v>
      </c>
      <c r="G26" s="4" t="s">
        <v>68</v>
      </c>
      <c r="H26" s="6">
        <v>1</v>
      </c>
      <c r="I26" s="7">
        <v>198.84</v>
      </c>
      <c r="J26" s="7">
        <v>198.84</v>
      </c>
      <c r="K26" s="7">
        <v>90.84</v>
      </c>
      <c r="L26" s="7">
        <v>90.84</v>
      </c>
      <c r="M26" s="7">
        <v>108</v>
      </c>
      <c r="N26" s="6">
        <v>150</v>
      </c>
      <c r="O26" s="6">
        <v>30</v>
      </c>
    </row>
    <row r="27" spans="1:15">
      <c r="A27" s="4" t="s">
        <v>115</v>
      </c>
      <c r="B27" s="5">
        <v>45354</v>
      </c>
      <c r="C27" s="4" t="s">
        <v>84</v>
      </c>
      <c r="D27" s="4" t="s">
        <v>85</v>
      </c>
      <c r="E27" s="4" t="s">
        <v>86</v>
      </c>
      <c r="F27" s="4" t="s">
        <v>82</v>
      </c>
      <c r="G27" s="4" t="s">
        <v>68</v>
      </c>
      <c r="H27" s="6">
        <v>3</v>
      </c>
      <c r="I27" s="7">
        <v>218.25</v>
      </c>
      <c r="J27" s="7">
        <v>654.75</v>
      </c>
      <c r="K27" s="7">
        <v>123.75</v>
      </c>
      <c r="L27" s="7">
        <v>371.25</v>
      </c>
      <c r="M27" s="7">
        <v>283.5</v>
      </c>
      <c r="N27" s="6">
        <v>146</v>
      </c>
      <c r="O27" s="6">
        <v>30</v>
      </c>
    </row>
    <row r="28" spans="1:15">
      <c r="A28" s="4" t="s">
        <v>116</v>
      </c>
      <c r="B28" s="5">
        <v>45362</v>
      </c>
      <c r="C28" s="4" t="s">
        <v>78</v>
      </c>
      <c r="D28" s="4" t="s">
        <v>79</v>
      </c>
      <c r="E28" s="4" t="s">
        <v>72</v>
      </c>
      <c r="F28" s="4" t="s">
        <v>106</v>
      </c>
      <c r="G28" s="4" t="s">
        <v>92</v>
      </c>
      <c r="H28" s="6">
        <v>15</v>
      </c>
      <c r="I28" s="7">
        <v>168.47</v>
      </c>
      <c r="J28" s="7">
        <v>2527.0500000000002</v>
      </c>
      <c r="K28" s="7">
        <v>77.430000000000007</v>
      </c>
      <c r="L28" s="7">
        <v>1161.45</v>
      </c>
      <c r="M28" s="7">
        <v>1365.6</v>
      </c>
      <c r="N28" s="6">
        <v>186</v>
      </c>
      <c r="O28" s="6">
        <v>30</v>
      </c>
    </row>
    <row r="29" spans="1:15">
      <c r="A29" s="4" t="s">
        <v>117</v>
      </c>
      <c r="B29" s="5">
        <v>45568</v>
      </c>
      <c r="C29" s="4" t="s">
        <v>65</v>
      </c>
      <c r="D29" s="4" t="s">
        <v>66</v>
      </c>
      <c r="E29" s="4" t="s">
        <v>67</v>
      </c>
      <c r="F29" s="4" t="s">
        <v>62</v>
      </c>
      <c r="G29" s="4" t="s">
        <v>92</v>
      </c>
      <c r="H29" s="6">
        <v>15</v>
      </c>
      <c r="I29" s="7">
        <v>185.3</v>
      </c>
      <c r="J29" s="7">
        <v>2779.5</v>
      </c>
      <c r="K29" s="7">
        <v>122</v>
      </c>
      <c r="L29" s="7">
        <v>1830</v>
      </c>
      <c r="M29" s="7">
        <v>949.5</v>
      </c>
      <c r="N29" s="6">
        <v>42</v>
      </c>
      <c r="O29" s="6">
        <v>50</v>
      </c>
    </row>
    <row r="30" spans="1:15">
      <c r="A30" s="4" t="s">
        <v>118</v>
      </c>
      <c r="B30" s="5">
        <v>45621</v>
      </c>
      <c r="C30" s="4" t="s">
        <v>90</v>
      </c>
      <c r="D30" s="4" t="s">
        <v>91</v>
      </c>
      <c r="E30" s="4" t="s">
        <v>72</v>
      </c>
      <c r="F30" s="4" t="s">
        <v>119</v>
      </c>
      <c r="G30" s="4" t="s">
        <v>88</v>
      </c>
      <c r="H30" s="6">
        <v>7</v>
      </c>
      <c r="I30" s="7">
        <v>239.02</v>
      </c>
      <c r="J30" s="7">
        <v>1673.14</v>
      </c>
      <c r="K30" s="7">
        <v>147.41</v>
      </c>
      <c r="L30" s="7">
        <v>1031.8699999999999</v>
      </c>
      <c r="M30" s="7">
        <v>641.27</v>
      </c>
      <c r="N30" s="6">
        <v>193</v>
      </c>
      <c r="O30" s="6">
        <v>20</v>
      </c>
    </row>
    <row r="31" spans="1:15">
      <c r="A31" s="4" t="s">
        <v>120</v>
      </c>
      <c r="B31" s="5">
        <v>45301</v>
      </c>
      <c r="C31" s="4" t="s">
        <v>70</v>
      </c>
      <c r="D31" s="4" t="s">
        <v>71</v>
      </c>
      <c r="E31" s="4" t="s">
        <v>72</v>
      </c>
      <c r="F31" s="4" t="s">
        <v>106</v>
      </c>
      <c r="G31" s="4" t="s">
        <v>92</v>
      </c>
      <c r="H31" s="6">
        <v>7</v>
      </c>
      <c r="I31" s="7">
        <v>65.099999999999994</v>
      </c>
      <c r="J31" s="7">
        <v>1182</v>
      </c>
      <c r="K31" s="7">
        <v>44.41</v>
      </c>
      <c r="L31" s="7">
        <v>310.87</v>
      </c>
      <c r="M31" s="7">
        <v>144.83000000000001</v>
      </c>
      <c r="N31" s="6">
        <v>148</v>
      </c>
      <c r="O31" s="6">
        <v>30</v>
      </c>
    </row>
    <row r="32" spans="1:15">
      <c r="A32" s="4" t="s">
        <v>121</v>
      </c>
      <c r="B32" s="5">
        <v>45303</v>
      </c>
      <c r="C32" s="4" t="s">
        <v>84</v>
      </c>
      <c r="D32" s="4" t="s">
        <v>85</v>
      </c>
      <c r="E32" s="4" t="s">
        <v>86</v>
      </c>
      <c r="F32" s="4" t="s">
        <v>62</v>
      </c>
      <c r="G32" s="4" t="s">
        <v>68</v>
      </c>
      <c r="H32" s="6">
        <v>14</v>
      </c>
      <c r="I32" s="7">
        <v>49.22</v>
      </c>
      <c r="J32" s="7">
        <v>689.08</v>
      </c>
      <c r="K32" s="7">
        <v>20.16</v>
      </c>
      <c r="L32" s="7">
        <v>282.24</v>
      </c>
      <c r="M32" s="7">
        <v>406.84</v>
      </c>
      <c r="N32" s="6">
        <v>135</v>
      </c>
      <c r="O32" s="6">
        <v>30</v>
      </c>
    </row>
    <row r="33" spans="1:15">
      <c r="A33" s="4" t="s">
        <v>122</v>
      </c>
      <c r="B33" s="5">
        <v>45385</v>
      </c>
      <c r="C33" s="4" t="s">
        <v>70</v>
      </c>
      <c r="D33" s="4" t="s">
        <v>71</v>
      </c>
      <c r="E33" s="4" t="s">
        <v>72</v>
      </c>
      <c r="F33" s="4" t="s">
        <v>62</v>
      </c>
      <c r="G33" s="4" t="s">
        <v>92</v>
      </c>
      <c r="H33" s="6">
        <v>3</v>
      </c>
      <c r="I33" s="7">
        <v>42.79</v>
      </c>
      <c r="J33" s="7">
        <v>128.37</v>
      </c>
      <c r="K33" s="7">
        <v>33.409999999999997</v>
      </c>
      <c r="L33" s="7">
        <v>100.23</v>
      </c>
      <c r="M33" s="7">
        <v>28.14</v>
      </c>
      <c r="N33" s="6">
        <v>173</v>
      </c>
      <c r="O33" s="6">
        <v>20</v>
      </c>
    </row>
    <row r="34" spans="1:15">
      <c r="A34" s="4" t="s">
        <v>123</v>
      </c>
      <c r="B34" s="5">
        <v>45342</v>
      </c>
      <c r="C34" s="4" t="s">
        <v>84</v>
      </c>
      <c r="D34" s="4" t="s">
        <v>85</v>
      </c>
      <c r="E34" s="4" t="s">
        <v>86</v>
      </c>
      <c r="F34" s="4" t="s">
        <v>62</v>
      </c>
      <c r="G34" s="4" t="s">
        <v>74</v>
      </c>
      <c r="H34" s="6">
        <v>5</v>
      </c>
      <c r="I34" s="7">
        <v>106.14</v>
      </c>
      <c r="J34" s="7">
        <v>530.70000000000005</v>
      </c>
      <c r="K34" s="7">
        <v>56.22</v>
      </c>
      <c r="L34" s="7">
        <v>281.10000000000002</v>
      </c>
      <c r="M34" s="7">
        <v>249.6</v>
      </c>
      <c r="N34" s="6">
        <v>96</v>
      </c>
      <c r="O34" s="6">
        <v>20</v>
      </c>
    </row>
    <row r="35" spans="1:15">
      <c r="A35" s="4" t="s">
        <v>124</v>
      </c>
      <c r="B35" s="5">
        <v>45550</v>
      </c>
      <c r="C35" s="4" t="s">
        <v>96</v>
      </c>
      <c r="D35" s="4" t="s">
        <v>97</v>
      </c>
      <c r="E35" s="4" t="s">
        <v>67</v>
      </c>
      <c r="F35" s="4" t="s">
        <v>62</v>
      </c>
      <c r="G35" s="4" t="s">
        <v>99</v>
      </c>
      <c r="H35" s="6">
        <v>4</v>
      </c>
      <c r="I35" s="7">
        <v>70.98</v>
      </c>
      <c r="J35" s="7">
        <v>283.92</v>
      </c>
      <c r="K35" s="7">
        <v>71.95</v>
      </c>
      <c r="L35" s="7">
        <v>149.72</v>
      </c>
      <c r="M35" s="7">
        <v>134.19999999999999</v>
      </c>
      <c r="N35" s="6">
        <v>141</v>
      </c>
      <c r="O35" s="6">
        <v>30</v>
      </c>
    </row>
    <row r="36" spans="1:15">
      <c r="A36" s="4" t="s">
        <v>125</v>
      </c>
      <c r="B36" s="5">
        <v>45575</v>
      </c>
      <c r="C36" s="4" t="s">
        <v>90</v>
      </c>
      <c r="D36" s="4" t="s">
        <v>91</v>
      </c>
      <c r="E36" s="4" t="s">
        <v>72</v>
      </c>
      <c r="F36" s="4" t="s">
        <v>62</v>
      </c>
      <c r="G36" s="4" t="s">
        <v>99</v>
      </c>
      <c r="H36" s="6">
        <v>8</v>
      </c>
      <c r="I36" s="7">
        <v>191.93</v>
      </c>
      <c r="J36" s="7">
        <v>1535.44</v>
      </c>
      <c r="K36" s="7">
        <v>126.79</v>
      </c>
      <c r="L36" s="7">
        <v>1014.32</v>
      </c>
      <c r="M36" s="7">
        <v>521.12</v>
      </c>
      <c r="N36" s="6">
        <v>32</v>
      </c>
      <c r="O36" s="6">
        <v>30</v>
      </c>
    </row>
    <row r="37" spans="1:15">
      <c r="A37" s="4" t="s">
        <v>126</v>
      </c>
      <c r="B37" s="5">
        <v>45483</v>
      </c>
      <c r="C37" s="4" t="s">
        <v>111</v>
      </c>
      <c r="D37" s="4" t="s">
        <v>112</v>
      </c>
      <c r="E37" s="4" t="s">
        <v>67</v>
      </c>
      <c r="F37" s="4" t="s">
        <v>62</v>
      </c>
      <c r="G37" s="4" t="s">
        <v>63</v>
      </c>
      <c r="H37" s="6">
        <v>8</v>
      </c>
      <c r="I37" s="7">
        <v>136.69999999999999</v>
      </c>
      <c r="J37" s="7">
        <v>1093.5999999999999</v>
      </c>
      <c r="K37" s="7">
        <v>77.849999999999994</v>
      </c>
      <c r="L37" s="7">
        <v>622.79999999999995</v>
      </c>
      <c r="M37" s="7">
        <v>470.8</v>
      </c>
      <c r="N37" s="6">
        <v>142</v>
      </c>
      <c r="O37" s="6">
        <v>30</v>
      </c>
    </row>
    <row r="38" spans="1:15">
      <c r="A38" s="4" t="s">
        <v>127</v>
      </c>
      <c r="B38" s="5">
        <v>45377</v>
      </c>
      <c r="C38" s="4" t="s">
        <v>65</v>
      </c>
      <c r="D38" s="4" t="s">
        <v>66</v>
      </c>
      <c r="E38" s="4" t="s">
        <v>67</v>
      </c>
      <c r="F38" s="4" t="s">
        <v>62</v>
      </c>
      <c r="G38" s="4" t="s">
        <v>68</v>
      </c>
      <c r="H38" s="6">
        <v>2</v>
      </c>
      <c r="I38" s="7">
        <v>233.71</v>
      </c>
      <c r="J38" s="7">
        <v>467.42</v>
      </c>
      <c r="K38" s="7">
        <v>138.56</v>
      </c>
      <c r="L38" s="7">
        <v>277.12</v>
      </c>
      <c r="M38" s="7">
        <v>190.3</v>
      </c>
      <c r="N38" s="6">
        <v>153</v>
      </c>
      <c r="O38" s="6">
        <v>30</v>
      </c>
    </row>
    <row r="39" spans="1:15">
      <c r="A39" s="4" t="s">
        <v>129</v>
      </c>
      <c r="B39" s="5">
        <v>45374</v>
      </c>
      <c r="C39" s="4" t="s">
        <v>90</v>
      </c>
      <c r="D39" s="4" t="s">
        <v>91</v>
      </c>
      <c r="E39" s="4" t="s">
        <v>72</v>
      </c>
      <c r="F39" s="4" t="s">
        <v>82</v>
      </c>
      <c r="G39" s="4" t="s">
        <v>99</v>
      </c>
      <c r="H39" s="6">
        <v>10</v>
      </c>
      <c r="I39" s="7">
        <v>26.98</v>
      </c>
      <c r="J39" s="7">
        <v>269.8</v>
      </c>
      <c r="K39" s="7">
        <v>18.329999999999998</v>
      </c>
      <c r="L39" s="7">
        <v>183.3</v>
      </c>
      <c r="M39" s="7">
        <v>86.5</v>
      </c>
      <c r="N39" s="6">
        <v>35</v>
      </c>
      <c r="O39" s="6">
        <v>50</v>
      </c>
    </row>
    <row r="40" spans="1:15">
      <c r="A40" s="4" t="s">
        <v>130</v>
      </c>
      <c r="B40" s="5">
        <v>45467</v>
      </c>
      <c r="C40" s="4" t="s">
        <v>70</v>
      </c>
      <c r="D40" s="4" t="s">
        <v>71</v>
      </c>
      <c r="E40" s="4" t="s">
        <v>72</v>
      </c>
      <c r="F40" s="4" t="s">
        <v>119</v>
      </c>
      <c r="G40" s="4" t="s">
        <v>99</v>
      </c>
      <c r="H40" s="6">
        <v>15</v>
      </c>
      <c r="I40" s="7">
        <v>71.89</v>
      </c>
      <c r="J40" s="7">
        <v>1078.3499999999999</v>
      </c>
      <c r="K40" s="7">
        <v>47.8</v>
      </c>
      <c r="L40" s="7">
        <v>717</v>
      </c>
      <c r="M40" s="7">
        <v>361.35</v>
      </c>
      <c r="N40" s="6">
        <v>82</v>
      </c>
      <c r="O40" s="6">
        <v>30</v>
      </c>
    </row>
    <row r="41" spans="1:15">
      <c r="A41" s="4" t="s">
        <v>131</v>
      </c>
      <c r="B41" s="5">
        <v>45293</v>
      </c>
      <c r="C41" s="4" t="s">
        <v>78</v>
      </c>
      <c r="D41" s="4" t="s">
        <v>79</v>
      </c>
      <c r="E41" s="4" t="s">
        <v>72</v>
      </c>
      <c r="F41" s="4" t="s">
        <v>82</v>
      </c>
      <c r="G41" s="4" t="s">
        <v>99</v>
      </c>
      <c r="H41" s="6">
        <v>1</v>
      </c>
      <c r="I41" s="7">
        <v>225.85</v>
      </c>
      <c r="J41" s="7">
        <v>225.85</v>
      </c>
      <c r="K41" s="7">
        <v>71.95</v>
      </c>
      <c r="L41" s="7">
        <v>151.11000000000001</v>
      </c>
      <c r="M41" s="7">
        <v>74.739999999999995</v>
      </c>
      <c r="N41" s="6">
        <v>105</v>
      </c>
      <c r="O41" s="6">
        <v>50</v>
      </c>
    </row>
    <row r="42" spans="1:15">
      <c r="A42" s="4" t="s">
        <v>132</v>
      </c>
      <c r="B42" s="5">
        <v>45307</v>
      </c>
      <c r="C42" s="4" t="s">
        <v>78</v>
      </c>
      <c r="D42" s="4" t="s">
        <v>79</v>
      </c>
      <c r="E42" s="4" t="s">
        <v>72</v>
      </c>
      <c r="F42" s="4" t="s">
        <v>62</v>
      </c>
      <c r="G42" s="4" t="s">
        <v>74</v>
      </c>
      <c r="H42" s="6">
        <v>4</v>
      </c>
      <c r="I42" s="7">
        <v>91.48</v>
      </c>
      <c r="J42" s="7">
        <v>365.92</v>
      </c>
      <c r="K42" s="7">
        <v>66.33</v>
      </c>
      <c r="L42" s="7">
        <v>265.32</v>
      </c>
      <c r="M42" s="7">
        <v>100.6</v>
      </c>
      <c r="N42" s="6">
        <v>153</v>
      </c>
      <c r="O42" s="6">
        <v>30</v>
      </c>
    </row>
    <row r="43" spans="1:15">
      <c r="A43" s="4" t="s">
        <v>133</v>
      </c>
      <c r="B43" s="5">
        <v>45481</v>
      </c>
      <c r="C43" s="4" t="s">
        <v>59</v>
      </c>
      <c r="D43" s="4" t="s">
        <v>60</v>
      </c>
      <c r="E43" s="4" t="s">
        <v>61</v>
      </c>
      <c r="F43" s="4" t="s">
        <v>62</v>
      </c>
      <c r="G43" s="4" t="s">
        <v>74</v>
      </c>
      <c r="H43" s="6">
        <v>15</v>
      </c>
      <c r="I43" s="7">
        <v>7.29</v>
      </c>
      <c r="J43" s="7">
        <v>109.35</v>
      </c>
      <c r="K43" s="7">
        <v>5.08</v>
      </c>
      <c r="L43" s="7">
        <v>76.2</v>
      </c>
      <c r="M43" s="7">
        <v>33.15</v>
      </c>
      <c r="N43" s="6">
        <v>194</v>
      </c>
      <c r="O43" s="6">
        <v>30</v>
      </c>
    </row>
    <row r="44" spans="1:15">
      <c r="A44" s="4" t="s">
        <v>134</v>
      </c>
      <c r="B44" s="5">
        <v>45411</v>
      </c>
      <c r="C44" s="4" t="s">
        <v>78</v>
      </c>
      <c r="D44" s="4" t="s">
        <v>79</v>
      </c>
      <c r="E44" s="4" t="s">
        <v>72</v>
      </c>
      <c r="F44" s="4" t="s">
        <v>119</v>
      </c>
      <c r="G44" s="4" t="s">
        <v>63</v>
      </c>
      <c r="H44" s="6">
        <v>12</v>
      </c>
      <c r="I44" s="7">
        <v>14.02</v>
      </c>
      <c r="J44" s="7">
        <v>168.24</v>
      </c>
      <c r="K44" s="7">
        <v>8.3699999999999992</v>
      </c>
      <c r="L44" s="7">
        <v>100.44</v>
      </c>
      <c r="M44" s="7">
        <v>67.8</v>
      </c>
      <c r="N44" s="6">
        <v>180</v>
      </c>
      <c r="O44" s="6">
        <v>50</v>
      </c>
    </row>
    <row r="45" spans="1:15">
      <c r="A45" s="4" t="s">
        <v>135</v>
      </c>
      <c r="B45" s="5">
        <v>45583</v>
      </c>
      <c r="C45" s="4" t="s">
        <v>78</v>
      </c>
      <c r="D45" s="4" t="s">
        <v>79</v>
      </c>
      <c r="E45" s="4" t="s">
        <v>72</v>
      </c>
      <c r="F45" s="4" t="s">
        <v>103</v>
      </c>
      <c r="G45" s="4" t="s">
        <v>63</v>
      </c>
      <c r="H45" s="6">
        <v>6</v>
      </c>
      <c r="I45" s="7">
        <v>140.19</v>
      </c>
      <c r="J45" s="7">
        <v>841.14</v>
      </c>
      <c r="K45" s="7">
        <v>93.08</v>
      </c>
      <c r="L45" s="7">
        <v>558.48</v>
      </c>
      <c r="M45" s="7">
        <v>282.66000000000003</v>
      </c>
      <c r="N45" s="6">
        <v>144</v>
      </c>
      <c r="O45" s="6">
        <v>50</v>
      </c>
    </row>
    <row r="46" spans="1:15">
      <c r="A46" s="4" t="s">
        <v>136</v>
      </c>
      <c r="B46" s="5">
        <v>45408</v>
      </c>
      <c r="C46" s="4" t="s">
        <v>70</v>
      </c>
      <c r="D46" s="4" t="s">
        <v>71</v>
      </c>
      <c r="E46" s="4" t="s">
        <v>72</v>
      </c>
      <c r="F46" s="4" t="s">
        <v>82</v>
      </c>
      <c r="G46" s="4" t="s">
        <v>88</v>
      </c>
      <c r="H46" s="6">
        <v>7</v>
      </c>
      <c r="I46" s="7">
        <v>212.68</v>
      </c>
      <c r="J46" s="7">
        <v>1488.76</v>
      </c>
      <c r="K46" s="7">
        <v>87.04</v>
      </c>
      <c r="L46" s="7">
        <v>609.28</v>
      </c>
      <c r="M46" s="7">
        <v>879.48</v>
      </c>
      <c r="N46" s="6">
        <v>177</v>
      </c>
      <c r="O46" s="6">
        <v>50</v>
      </c>
    </row>
    <row r="47" spans="1:15">
      <c r="A47" s="4" t="s">
        <v>137</v>
      </c>
      <c r="B47" s="5">
        <v>45318</v>
      </c>
      <c r="C47" s="4" t="s">
        <v>84</v>
      </c>
      <c r="D47" s="4" t="s">
        <v>85</v>
      </c>
      <c r="E47" s="4" t="s">
        <v>86</v>
      </c>
      <c r="F47" s="4" t="s">
        <v>82</v>
      </c>
      <c r="G47" s="4" t="s">
        <v>99</v>
      </c>
      <c r="H47" s="6">
        <v>14</v>
      </c>
      <c r="I47" s="7">
        <v>211.86</v>
      </c>
      <c r="J47" s="7">
        <v>2966.04</v>
      </c>
      <c r="K47" s="7">
        <v>119.22</v>
      </c>
      <c r="L47" s="7">
        <v>1669.08</v>
      </c>
      <c r="M47" s="7">
        <v>1296.96</v>
      </c>
      <c r="N47" s="6">
        <v>31</v>
      </c>
      <c r="O47" s="6">
        <v>50</v>
      </c>
    </row>
    <row r="48" spans="1:15">
      <c r="A48" s="4" t="s">
        <v>138</v>
      </c>
      <c r="B48" s="5">
        <v>45434</v>
      </c>
      <c r="C48" s="4" t="s">
        <v>96</v>
      </c>
      <c r="D48" s="4" t="s">
        <v>97</v>
      </c>
      <c r="E48" s="4" t="s">
        <v>67</v>
      </c>
      <c r="F48" s="4" t="s">
        <v>106</v>
      </c>
      <c r="G48" s="4" t="s">
        <v>92</v>
      </c>
      <c r="H48" s="6">
        <v>18</v>
      </c>
      <c r="I48" s="7">
        <v>114.97</v>
      </c>
      <c r="J48" s="7">
        <v>2069.46</v>
      </c>
      <c r="K48" s="7">
        <v>46.23</v>
      </c>
      <c r="L48" s="7">
        <v>832.14</v>
      </c>
      <c r="M48" s="7">
        <v>1237.32</v>
      </c>
      <c r="N48" s="6">
        <v>49</v>
      </c>
      <c r="O48" s="6">
        <v>30</v>
      </c>
    </row>
    <row r="49" spans="1:15">
      <c r="A49" s="4" t="s">
        <v>139</v>
      </c>
      <c r="B49" s="5">
        <v>45330</v>
      </c>
      <c r="C49" s="4" t="s">
        <v>59</v>
      </c>
      <c r="D49" s="4" t="s">
        <v>60</v>
      </c>
      <c r="E49" s="4" t="s">
        <v>61</v>
      </c>
      <c r="F49" s="4" t="s">
        <v>106</v>
      </c>
      <c r="G49" s="4" t="s">
        <v>63</v>
      </c>
      <c r="H49" s="6">
        <v>7</v>
      </c>
      <c r="I49" s="7">
        <v>45.3</v>
      </c>
      <c r="J49" s="7">
        <v>317.10000000000002</v>
      </c>
      <c r="K49" s="7">
        <v>23.75</v>
      </c>
      <c r="L49" s="7">
        <v>166.25</v>
      </c>
      <c r="M49" s="7">
        <v>150.85</v>
      </c>
      <c r="N49" s="6">
        <v>160</v>
      </c>
      <c r="O49" s="6">
        <v>50</v>
      </c>
    </row>
    <row r="50" spans="1:15">
      <c r="A50" s="4" t="s">
        <v>140</v>
      </c>
      <c r="B50" s="5">
        <v>45463</v>
      </c>
      <c r="C50" s="4" t="s">
        <v>70</v>
      </c>
      <c r="D50" s="4" t="s">
        <v>71</v>
      </c>
      <c r="E50" s="4" t="s">
        <v>72</v>
      </c>
      <c r="F50" s="4" t="s">
        <v>76</v>
      </c>
      <c r="G50" s="4" t="s">
        <v>92</v>
      </c>
      <c r="H50" s="6">
        <v>8</v>
      </c>
      <c r="I50" s="7">
        <v>31.42</v>
      </c>
      <c r="J50" s="7">
        <v>251.36</v>
      </c>
      <c r="K50" s="7">
        <v>15.56</v>
      </c>
      <c r="L50" s="7">
        <v>124.48</v>
      </c>
      <c r="M50" s="7">
        <v>126.88</v>
      </c>
      <c r="N50" s="6">
        <v>87</v>
      </c>
      <c r="O50" s="6">
        <v>20</v>
      </c>
    </row>
    <row r="51" spans="1:15">
      <c r="A51" s="4" t="s">
        <v>141</v>
      </c>
      <c r="B51" s="5">
        <v>45340</v>
      </c>
      <c r="C51" s="4" t="s">
        <v>78</v>
      </c>
      <c r="D51" s="4" t="s">
        <v>79</v>
      </c>
      <c r="E51" s="4" t="s">
        <v>72</v>
      </c>
      <c r="F51" s="4" t="s">
        <v>62</v>
      </c>
      <c r="G51" s="4" t="s">
        <v>88</v>
      </c>
      <c r="H51" s="6">
        <v>19</v>
      </c>
      <c r="I51" s="7">
        <v>35.58</v>
      </c>
      <c r="J51" s="7">
        <v>676.02</v>
      </c>
      <c r="K51" s="7">
        <v>28.1</v>
      </c>
      <c r="L51" s="7">
        <v>533.9</v>
      </c>
      <c r="M51" s="7">
        <v>142.12</v>
      </c>
      <c r="N51" s="6">
        <v>8</v>
      </c>
      <c r="O51" s="6">
        <v>30</v>
      </c>
    </row>
    <row r="52" spans="1:15">
      <c r="A52" s="4" t="s">
        <v>142</v>
      </c>
      <c r="B52" s="5">
        <v>45446</v>
      </c>
      <c r="C52" s="4" t="s">
        <v>96</v>
      </c>
      <c r="D52" s="4" t="s">
        <v>97</v>
      </c>
      <c r="E52" s="4" t="s">
        <v>67</v>
      </c>
      <c r="F52" s="4" t="s">
        <v>62</v>
      </c>
      <c r="G52" s="4" t="s">
        <v>99</v>
      </c>
      <c r="H52" s="6">
        <v>3</v>
      </c>
      <c r="I52" s="7">
        <v>29.95</v>
      </c>
      <c r="J52" s="7">
        <v>89.85</v>
      </c>
      <c r="K52" s="7">
        <v>12.65</v>
      </c>
      <c r="L52" s="7">
        <v>37.950000000000003</v>
      </c>
      <c r="M52" s="7">
        <v>51.9</v>
      </c>
      <c r="N52" s="6">
        <v>13</v>
      </c>
      <c r="O52" s="6">
        <v>30</v>
      </c>
    </row>
    <row r="53" spans="1:15">
      <c r="A53" s="4" t="s">
        <v>143</v>
      </c>
      <c r="B53" s="5">
        <v>45611</v>
      </c>
      <c r="C53" s="4" t="s">
        <v>65</v>
      </c>
      <c r="D53" s="4" t="s">
        <v>66</v>
      </c>
      <c r="E53" s="4" t="s">
        <v>67</v>
      </c>
      <c r="F53" s="4" t="s">
        <v>106</v>
      </c>
      <c r="G53" s="4" t="s">
        <v>68</v>
      </c>
      <c r="H53" s="6">
        <v>15</v>
      </c>
      <c r="I53" s="7">
        <v>99.06</v>
      </c>
      <c r="J53" s="7">
        <v>1182</v>
      </c>
      <c r="K53" s="7">
        <v>71.13</v>
      </c>
      <c r="L53" s="7">
        <v>1066.95</v>
      </c>
      <c r="M53" s="7">
        <v>418.95</v>
      </c>
      <c r="N53" s="6">
        <v>158</v>
      </c>
      <c r="O53" s="6">
        <v>50</v>
      </c>
    </row>
    <row r="54" spans="1:15">
      <c r="A54" s="4" t="s">
        <v>144</v>
      </c>
      <c r="B54" s="5">
        <v>45592</v>
      </c>
      <c r="C54" s="4" t="s">
        <v>59</v>
      </c>
      <c r="D54" s="4" t="s">
        <v>60</v>
      </c>
      <c r="E54" s="4" t="s">
        <v>61</v>
      </c>
      <c r="F54" s="4" t="s">
        <v>119</v>
      </c>
      <c r="G54" s="4" t="s">
        <v>92</v>
      </c>
      <c r="H54" s="6">
        <v>4</v>
      </c>
      <c r="I54" s="7">
        <v>30.16</v>
      </c>
      <c r="J54" s="7">
        <v>120.64</v>
      </c>
      <c r="K54" s="7">
        <v>19.239999999999998</v>
      </c>
      <c r="L54" s="7">
        <v>76.959999999999994</v>
      </c>
      <c r="M54" s="7">
        <v>43.68</v>
      </c>
      <c r="N54" s="6">
        <v>17</v>
      </c>
      <c r="O54" s="6">
        <v>50</v>
      </c>
    </row>
    <row r="55" spans="1:15">
      <c r="A55" s="4" t="s">
        <v>145</v>
      </c>
      <c r="B55" s="5">
        <v>45609</v>
      </c>
      <c r="C55" s="4" t="s">
        <v>78</v>
      </c>
      <c r="D55" s="4" t="s">
        <v>79</v>
      </c>
      <c r="E55" s="4" t="s">
        <v>72</v>
      </c>
      <c r="F55" s="4" t="s">
        <v>82</v>
      </c>
      <c r="G55" s="4" t="s">
        <v>92</v>
      </c>
      <c r="H55" s="6">
        <v>6</v>
      </c>
      <c r="I55" s="7">
        <v>64.569999999999993</v>
      </c>
      <c r="J55" s="7">
        <v>387.42</v>
      </c>
      <c r="K55" s="7">
        <v>46.41</v>
      </c>
      <c r="L55" s="7">
        <v>278.45999999999998</v>
      </c>
      <c r="M55" s="7">
        <v>108.96</v>
      </c>
      <c r="N55" s="6">
        <v>15</v>
      </c>
      <c r="O55" s="6">
        <v>20</v>
      </c>
    </row>
    <row r="56" spans="1:15">
      <c r="A56" s="4" t="s">
        <v>146</v>
      </c>
      <c r="B56" s="5">
        <v>45569</v>
      </c>
      <c r="C56" s="4" t="s">
        <v>111</v>
      </c>
      <c r="D56" s="4" t="s">
        <v>112</v>
      </c>
      <c r="E56" s="4" t="s">
        <v>67</v>
      </c>
      <c r="F56" s="4" t="s">
        <v>62</v>
      </c>
      <c r="G56" s="4" t="s">
        <v>92</v>
      </c>
      <c r="H56" s="6">
        <v>5</v>
      </c>
      <c r="I56" s="7">
        <v>120.03</v>
      </c>
      <c r="J56" s="7">
        <v>1182</v>
      </c>
      <c r="K56" s="7">
        <v>76.98</v>
      </c>
      <c r="L56" s="7">
        <v>384.9</v>
      </c>
      <c r="M56" s="7">
        <v>215.25</v>
      </c>
      <c r="N56" s="6">
        <v>74</v>
      </c>
      <c r="O56" s="6">
        <v>30</v>
      </c>
    </row>
    <row r="57" spans="1:15">
      <c r="A57" s="4" t="s">
        <v>147</v>
      </c>
      <c r="B57" s="5">
        <v>45578</v>
      </c>
      <c r="C57" s="4" t="s">
        <v>65</v>
      </c>
      <c r="D57" s="4" t="s">
        <v>66</v>
      </c>
      <c r="E57" s="4" t="s">
        <v>67</v>
      </c>
      <c r="F57" s="4" t="s">
        <v>106</v>
      </c>
      <c r="G57" s="4" t="s">
        <v>68</v>
      </c>
      <c r="H57" s="6">
        <v>14</v>
      </c>
      <c r="I57" s="7">
        <v>89.23</v>
      </c>
      <c r="J57" s="7">
        <v>1249.22</v>
      </c>
      <c r="K57" s="7">
        <v>70.55</v>
      </c>
      <c r="L57" s="7">
        <v>987.7</v>
      </c>
      <c r="M57" s="7">
        <v>261.52</v>
      </c>
      <c r="N57" s="6">
        <v>163</v>
      </c>
      <c r="O57" s="6">
        <v>20</v>
      </c>
    </row>
    <row r="58" spans="1:15">
      <c r="A58" s="4" t="s">
        <v>148</v>
      </c>
      <c r="B58" s="5">
        <v>45461</v>
      </c>
      <c r="C58" s="4" t="s">
        <v>84</v>
      </c>
      <c r="D58" s="4" t="s">
        <v>85</v>
      </c>
      <c r="E58" s="4" t="s">
        <v>86</v>
      </c>
      <c r="F58" s="4" t="s">
        <v>62</v>
      </c>
      <c r="G58" s="4" t="s">
        <v>88</v>
      </c>
      <c r="H58" s="6">
        <v>20</v>
      </c>
      <c r="I58" s="7">
        <v>78.41</v>
      </c>
      <c r="J58" s="7">
        <v>1568.2</v>
      </c>
      <c r="K58" s="7">
        <v>41.67</v>
      </c>
      <c r="L58" s="7">
        <v>833.4</v>
      </c>
      <c r="M58" s="7">
        <v>734.8</v>
      </c>
      <c r="N58" s="6">
        <v>26</v>
      </c>
      <c r="O58" s="6">
        <v>30</v>
      </c>
    </row>
    <row r="59" spans="1:15">
      <c r="A59" s="4" t="s">
        <v>149</v>
      </c>
      <c r="B59" s="5">
        <v>45611</v>
      </c>
      <c r="C59" s="4" t="s">
        <v>59</v>
      </c>
      <c r="D59" s="4" t="s">
        <v>60</v>
      </c>
      <c r="E59" s="4" t="s">
        <v>61</v>
      </c>
      <c r="F59" s="4" t="s">
        <v>62</v>
      </c>
      <c r="G59" s="4" t="s">
        <v>74</v>
      </c>
      <c r="H59" s="6">
        <v>8</v>
      </c>
      <c r="I59" s="7">
        <v>122.78</v>
      </c>
      <c r="J59" s="7">
        <v>1182</v>
      </c>
      <c r="K59" s="7">
        <v>71.95</v>
      </c>
      <c r="L59" s="7">
        <v>694.8</v>
      </c>
      <c r="M59" s="7">
        <v>287.44</v>
      </c>
      <c r="N59" s="6">
        <v>84</v>
      </c>
      <c r="O59" s="6">
        <v>50</v>
      </c>
    </row>
    <row r="60" spans="1:15">
      <c r="A60" s="4" t="s">
        <v>150</v>
      </c>
      <c r="B60" s="5">
        <v>45475</v>
      </c>
      <c r="C60" s="4" t="s">
        <v>65</v>
      </c>
      <c r="D60" s="4" t="s">
        <v>66</v>
      </c>
      <c r="E60" s="4" t="s">
        <v>67</v>
      </c>
      <c r="F60" s="4" t="s">
        <v>76</v>
      </c>
      <c r="G60" s="4" t="s">
        <v>63</v>
      </c>
      <c r="H60" s="6">
        <v>18</v>
      </c>
      <c r="I60" s="7">
        <v>33.22</v>
      </c>
      <c r="J60" s="7">
        <v>597.96</v>
      </c>
      <c r="K60" s="7">
        <v>17.149999999999999</v>
      </c>
      <c r="L60" s="7">
        <v>308.7</v>
      </c>
      <c r="M60" s="7">
        <v>289.26</v>
      </c>
      <c r="N60" s="6">
        <v>49</v>
      </c>
      <c r="O60" s="6">
        <v>50</v>
      </c>
    </row>
    <row r="61" spans="1:15">
      <c r="A61" s="4" t="s">
        <v>151</v>
      </c>
      <c r="B61" s="5">
        <v>45426</v>
      </c>
      <c r="C61" s="4" t="s">
        <v>111</v>
      </c>
      <c r="D61" s="4" t="s">
        <v>112</v>
      </c>
      <c r="E61" s="4" t="s">
        <v>67</v>
      </c>
      <c r="F61" s="4" t="s">
        <v>103</v>
      </c>
      <c r="G61" s="4" t="s">
        <v>88</v>
      </c>
      <c r="H61" s="6">
        <v>11</v>
      </c>
      <c r="I61" s="7">
        <v>212.65</v>
      </c>
      <c r="J61" s="7">
        <v>2339.15</v>
      </c>
      <c r="K61" s="7">
        <v>105.98</v>
      </c>
      <c r="L61" s="7">
        <v>1165.78</v>
      </c>
      <c r="M61" s="7">
        <v>1173.3699999999999</v>
      </c>
      <c r="N61" s="6">
        <v>50</v>
      </c>
      <c r="O61" s="6">
        <v>20</v>
      </c>
    </row>
    <row r="62" spans="1:15">
      <c r="A62" s="4" t="s">
        <v>152</v>
      </c>
      <c r="B62" s="5">
        <v>45348</v>
      </c>
      <c r="C62" s="4" t="s">
        <v>84</v>
      </c>
      <c r="D62" s="4" t="s">
        <v>85</v>
      </c>
      <c r="E62" s="4" t="s">
        <v>86</v>
      </c>
      <c r="F62" s="4" t="s">
        <v>103</v>
      </c>
      <c r="G62" s="4" t="s">
        <v>92</v>
      </c>
      <c r="H62" s="6">
        <v>7</v>
      </c>
      <c r="I62" s="7">
        <v>79.739999999999995</v>
      </c>
      <c r="J62" s="7">
        <v>558.17999999999995</v>
      </c>
      <c r="K62" s="7">
        <v>39.56</v>
      </c>
      <c r="L62" s="7">
        <v>276.92</v>
      </c>
      <c r="M62" s="7">
        <v>281.26</v>
      </c>
      <c r="N62" s="6">
        <v>95</v>
      </c>
      <c r="O62" s="6">
        <v>50</v>
      </c>
    </row>
    <row r="63" spans="1:15">
      <c r="A63" s="4" t="s">
        <v>153</v>
      </c>
      <c r="B63" s="5">
        <v>45325</v>
      </c>
      <c r="C63" s="4" t="s">
        <v>90</v>
      </c>
      <c r="D63" s="4" t="s">
        <v>91</v>
      </c>
      <c r="E63" s="4" t="s">
        <v>72</v>
      </c>
      <c r="F63" s="4" t="s">
        <v>62</v>
      </c>
      <c r="G63" s="4" t="s">
        <v>88</v>
      </c>
      <c r="H63" s="6">
        <v>5</v>
      </c>
      <c r="I63" s="7">
        <v>221.27</v>
      </c>
      <c r="J63" s="7">
        <v>1106.3499999999999</v>
      </c>
      <c r="K63" s="7">
        <v>100.08</v>
      </c>
      <c r="L63" s="7">
        <v>500.4</v>
      </c>
      <c r="M63" s="7">
        <v>605.95000000000005</v>
      </c>
      <c r="N63" s="6">
        <v>48</v>
      </c>
      <c r="O63" s="6">
        <v>20</v>
      </c>
    </row>
    <row r="64" spans="1:15">
      <c r="A64" s="4" t="s">
        <v>154</v>
      </c>
      <c r="B64" s="5">
        <v>45315</v>
      </c>
      <c r="C64" s="4" t="s">
        <v>59</v>
      </c>
      <c r="D64" s="4" t="s">
        <v>60</v>
      </c>
      <c r="E64" s="4" t="s">
        <v>61</v>
      </c>
      <c r="F64" s="4" t="s">
        <v>82</v>
      </c>
      <c r="G64" s="4" t="s">
        <v>74</v>
      </c>
      <c r="H64" s="6">
        <v>18</v>
      </c>
      <c r="I64" s="7">
        <v>77.069999999999993</v>
      </c>
      <c r="J64" s="7">
        <v>1387.26</v>
      </c>
      <c r="K64" s="7">
        <v>35.409999999999997</v>
      </c>
      <c r="L64" s="7">
        <v>637.38</v>
      </c>
      <c r="M64" s="7">
        <v>749.88</v>
      </c>
      <c r="N64" s="6">
        <v>63</v>
      </c>
      <c r="O64" s="6">
        <v>20</v>
      </c>
    </row>
    <row r="65" spans="1:15">
      <c r="A65" s="4" t="s">
        <v>155</v>
      </c>
      <c r="B65" s="5">
        <v>45333</v>
      </c>
      <c r="C65" s="4" t="s">
        <v>78</v>
      </c>
      <c r="D65" s="4" t="s">
        <v>79</v>
      </c>
      <c r="E65" s="4" t="s">
        <v>72</v>
      </c>
      <c r="F65" s="4" t="s">
        <v>76</v>
      </c>
      <c r="G65" s="4" t="s">
        <v>99</v>
      </c>
      <c r="H65" s="6">
        <v>20</v>
      </c>
      <c r="I65" s="7">
        <v>20.89</v>
      </c>
      <c r="J65" s="7">
        <v>417.8</v>
      </c>
      <c r="K65" s="7">
        <v>12.61</v>
      </c>
      <c r="L65" s="7">
        <v>252.2</v>
      </c>
      <c r="M65" s="7">
        <v>165.6</v>
      </c>
      <c r="N65" s="6">
        <v>192</v>
      </c>
      <c r="O65" s="6">
        <v>50</v>
      </c>
    </row>
    <row r="66" spans="1:15">
      <c r="A66" s="4" t="s">
        <v>156</v>
      </c>
      <c r="B66" s="5">
        <v>45539</v>
      </c>
      <c r="C66" s="4" t="s">
        <v>78</v>
      </c>
      <c r="D66" s="4" t="s">
        <v>79</v>
      </c>
      <c r="E66" s="4" t="s">
        <v>72</v>
      </c>
      <c r="F66" s="4" t="s">
        <v>62</v>
      </c>
      <c r="G66" s="4" t="s">
        <v>74</v>
      </c>
      <c r="H66" s="6">
        <v>16</v>
      </c>
      <c r="I66" s="7">
        <v>70.739999999999995</v>
      </c>
      <c r="J66" s="7">
        <v>1131.8399999999999</v>
      </c>
      <c r="K66" s="7">
        <v>39.64</v>
      </c>
      <c r="L66" s="7">
        <v>634.24</v>
      </c>
      <c r="M66" s="7">
        <v>497.6</v>
      </c>
      <c r="N66" s="6">
        <v>149</v>
      </c>
      <c r="O66" s="6">
        <v>50</v>
      </c>
    </row>
    <row r="67" spans="1:15">
      <c r="A67" s="4" t="s">
        <v>157</v>
      </c>
      <c r="B67" s="5">
        <v>45448</v>
      </c>
      <c r="C67" s="4" t="s">
        <v>96</v>
      </c>
      <c r="D67" s="4" t="s">
        <v>97</v>
      </c>
      <c r="E67" s="4" t="s">
        <v>67</v>
      </c>
      <c r="F67" s="4" t="s">
        <v>106</v>
      </c>
      <c r="G67" s="4" t="s">
        <v>74</v>
      </c>
      <c r="H67" s="6">
        <v>13</v>
      </c>
      <c r="I67" s="7">
        <v>144.99</v>
      </c>
      <c r="J67" s="7">
        <v>1884.87</v>
      </c>
      <c r="K67" s="7">
        <v>112.25</v>
      </c>
      <c r="L67" s="7">
        <v>1459.25</v>
      </c>
      <c r="M67" s="7">
        <v>425.62</v>
      </c>
      <c r="N67" s="6">
        <v>95</v>
      </c>
      <c r="O67" s="6">
        <v>30</v>
      </c>
    </row>
    <row r="68" spans="1:15">
      <c r="A68" s="4" t="s">
        <v>158</v>
      </c>
      <c r="B68" s="5">
        <v>45313</v>
      </c>
      <c r="C68" s="4" t="s">
        <v>78</v>
      </c>
      <c r="D68" s="4" t="s">
        <v>79</v>
      </c>
      <c r="E68" s="4" t="s">
        <v>72</v>
      </c>
      <c r="F68" s="4" t="s">
        <v>62</v>
      </c>
      <c r="G68" s="4" t="s">
        <v>68</v>
      </c>
      <c r="H68" s="6">
        <v>17</v>
      </c>
      <c r="I68" s="7">
        <v>157.18</v>
      </c>
      <c r="J68" s="7">
        <v>2672.06</v>
      </c>
      <c r="K68" s="7">
        <v>89.66</v>
      </c>
      <c r="L68" s="7">
        <v>1524.22</v>
      </c>
      <c r="M68" s="7">
        <v>1147.8399999999999</v>
      </c>
      <c r="N68" s="6">
        <v>119</v>
      </c>
      <c r="O68" s="6">
        <v>30</v>
      </c>
    </row>
    <row r="69" spans="1:15">
      <c r="A69" s="4" t="s">
        <v>159</v>
      </c>
      <c r="B69" s="5">
        <v>45411</v>
      </c>
      <c r="C69" s="4" t="s">
        <v>70</v>
      </c>
      <c r="D69" s="4" t="s">
        <v>71</v>
      </c>
      <c r="E69" s="4" t="s">
        <v>72</v>
      </c>
      <c r="F69" s="4" t="s">
        <v>106</v>
      </c>
      <c r="G69" s="4" t="s">
        <v>88</v>
      </c>
      <c r="H69" s="6">
        <v>3</v>
      </c>
      <c r="I69" s="7">
        <v>92.98</v>
      </c>
      <c r="J69" s="7">
        <v>1182</v>
      </c>
      <c r="K69" s="7">
        <v>71.95</v>
      </c>
      <c r="L69" s="7">
        <v>120.78</v>
      </c>
      <c r="M69" s="7">
        <v>158.16</v>
      </c>
      <c r="N69" s="6">
        <v>128</v>
      </c>
      <c r="O69" s="6">
        <v>50</v>
      </c>
    </row>
    <row r="70" spans="1:15">
      <c r="A70" s="4" t="s">
        <v>160</v>
      </c>
      <c r="B70" s="5">
        <v>45394</v>
      </c>
      <c r="C70" s="4" t="s">
        <v>84</v>
      </c>
      <c r="D70" s="4" t="s">
        <v>85</v>
      </c>
      <c r="E70" s="4" t="s">
        <v>86</v>
      </c>
      <c r="F70" s="4" t="s">
        <v>82</v>
      </c>
      <c r="G70" s="4" t="s">
        <v>74</v>
      </c>
      <c r="H70" s="6">
        <v>7</v>
      </c>
      <c r="I70" s="7">
        <v>170.4</v>
      </c>
      <c r="J70" s="7">
        <v>1192.8</v>
      </c>
      <c r="K70" s="7">
        <v>85.2</v>
      </c>
      <c r="L70" s="7">
        <v>596.4</v>
      </c>
      <c r="M70" s="7">
        <v>596.4</v>
      </c>
      <c r="N70" s="6">
        <v>190</v>
      </c>
      <c r="O70" s="6">
        <v>50</v>
      </c>
    </row>
    <row r="71" spans="1:15">
      <c r="A71" s="4" t="s">
        <v>161</v>
      </c>
      <c r="B71" s="5">
        <v>45570</v>
      </c>
      <c r="C71" s="4" t="s">
        <v>70</v>
      </c>
      <c r="D71" s="4" t="s">
        <v>71</v>
      </c>
      <c r="E71" s="4" t="s">
        <v>72</v>
      </c>
      <c r="F71" s="4" t="s">
        <v>62</v>
      </c>
      <c r="G71" s="4" t="s">
        <v>88</v>
      </c>
      <c r="H71" s="6">
        <v>1</v>
      </c>
      <c r="I71" s="7">
        <v>193.67</v>
      </c>
      <c r="J71" s="7">
        <v>193.67</v>
      </c>
      <c r="K71" s="7">
        <v>99.3</v>
      </c>
      <c r="L71" s="7">
        <v>99.3</v>
      </c>
      <c r="M71" s="7">
        <v>94.37</v>
      </c>
      <c r="N71" s="6">
        <v>88</v>
      </c>
      <c r="O71" s="6">
        <v>30</v>
      </c>
    </row>
    <row r="72" spans="1:15">
      <c r="A72" s="4" t="s">
        <v>162</v>
      </c>
      <c r="B72" s="5">
        <v>45368</v>
      </c>
      <c r="C72" s="4" t="s">
        <v>96</v>
      </c>
      <c r="D72" s="4" t="s">
        <v>97</v>
      </c>
      <c r="E72" s="4" t="s">
        <v>67</v>
      </c>
      <c r="F72" s="4" t="s">
        <v>82</v>
      </c>
      <c r="G72" s="4" t="s">
        <v>88</v>
      </c>
      <c r="H72" s="6">
        <v>8</v>
      </c>
      <c r="I72" s="7">
        <v>60.6</v>
      </c>
      <c r="J72" s="7">
        <v>1182</v>
      </c>
      <c r="K72" s="7">
        <v>42.4</v>
      </c>
      <c r="L72" s="7">
        <v>339.2</v>
      </c>
      <c r="M72" s="7">
        <v>145.6</v>
      </c>
      <c r="N72" s="6">
        <v>121</v>
      </c>
      <c r="O72" s="6">
        <v>20</v>
      </c>
    </row>
    <row r="73" spans="1:15">
      <c r="A73" s="4" t="s">
        <v>163</v>
      </c>
      <c r="B73" s="5">
        <v>45511</v>
      </c>
      <c r="C73" s="4" t="s">
        <v>96</v>
      </c>
      <c r="D73" s="4" t="s">
        <v>97</v>
      </c>
      <c r="E73" s="4" t="s">
        <v>67</v>
      </c>
      <c r="F73" s="4" t="s">
        <v>103</v>
      </c>
      <c r="G73" s="4" t="s">
        <v>92</v>
      </c>
      <c r="H73" s="6">
        <v>7</v>
      </c>
      <c r="I73" s="7">
        <v>112.48</v>
      </c>
      <c r="J73" s="7">
        <v>787.36</v>
      </c>
      <c r="K73" s="7">
        <v>83.37</v>
      </c>
      <c r="L73" s="7">
        <v>583.59</v>
      </c>
      <c r="M73" s="7">
        <v>203.77</v>
      </c>
      <c r="N73" s="6">
        <v>7</v>
      </c>
      <c r="O73" s="6">
        <v>30</v>
      </c>
    </row>
    <row r="74" spans="1:15">
      <c r="A74" s="4" t="s">
        <v>164</v>
      </c>
      <c r="B74" s="5">
        <v>45473</v>
      </c>
      <c r="C74" s="4" t="s">
        <v>84</v>
      </c>
      <c r="D74" s="4" t="s">
        <v>85</v>
      </c>
      <c r="E74" s="4" t="s">
        <v>86</v>
      </c>
      <c r="F74" s="4" t="s">
        <v>82</v>
      </c>
      <c r="G74" s="4" t="s">
        <v>68</v>
      </c>
      <c r="H74" s="6">
        <v>8</v>
      </c>
      <c r="I74" s="7">
        <v>107.69</v>
      </c>
      <c r="J74" s="7">
        <v>1182</v>
      </c>
      <c r="K74" s="7">
        <v>72.62</v>
      </c>
      <c r="L74" s="7">
        <v>580.96</v>
      </c>
      <c r="M74" s="7">
        <v>280.56</v>
      </c>
      <c r="N74" s="6">
        <v>103</v>
      </c>
      <c r="O74" s="6">
        <v>50</v>
      </c>
    </row>
    <row r="75" spans="1:15">
      <c r="A75" s="4" t="s">
        <v>165</v>
      </c>
      <c r="B75" s="5">
        <v>45461</v>
      </c>
      <c r="C75" s="4" t="s">
        <v>96</v>
      </c>
      <c r="D75" s="4" t="s">
        <v>97</v>
      </c>
      <c r="E75" s="4" t="s">
        <v>67</v>
      </c>
      <c r="F75" s="4" t="s">
        <v>62</v>
      </c>
      <c r="G75" s="4" t="s">
        <v>99</v>
      </c>
      <c r="H75" s="6">
        <v>13</v>
      </c>
      <c r="I75" s="7">
        <v>55.03</v>
      </c>
      <c r="J75" s="7">
        <v>715.39</v>
      </c>
      <c r="K75" s="7">
        <v>30.61</v>
      </c>
      <c r="L75" s="7">
        <v>397.93</v>
      </c>
      <c r="M75" s="7">
        <v>317.45999999999998</v>
      </c>
      <c r="N75" s="6">
        <v>136</v>
      </c>
      <c r="O75" s="6">
        <v>30</v>
      </c>
    </row>
    <row r="76" spans="1:15">
      <c r="A76" s="4" t="s">
        <v>166</v>
      </c>
      <c r="B76" s="5">
        <v>45339</v>
      </c>
      <c r="C76" s="4" t="s">
        <v>111</v>
      </c>
      <c r="D76" s="4" t="s">
        <v>112</v>
      </c>
      <c r="E76" s="4" t="s">
        <v>67</v>
      </c>
      <c r="F76" s="4" t="s">
        <v>82</v>
      </c>
      <c r="G76" s="4" t="s">
        <v>88</v>
      </c>
      <c r="H76" s="6">
        <v>4</v>
      </c>
      <c r="I76" s="7">
        <v>170.35</v>
      </c>
      <c r="J76" s="7">
        <v>681.4</v>
      </c>
      <c r="K76" s="7">
        <v>80.239999999999995</v>
      </c>
      <c r="L76" s="7">
        <v>320.95999999999998</v>
      </c>
      <c r="M76" s="7">
        <v>360.44</v>
      </c>
      <c r="N76" s="6">
        <v>176</v>
      </c>
      <c r="O76" s="6">
        <v>50</v>
      </c>
    </row>
    <row r="77" spans="1:15">
      <c r="A77" s="4" t="s">
        <v>167</v>
      </c>
      <c r="B77" s="5">
        <v>45411</v>
      </c>
      <c r="C77" s="4" t="s">
        <v>70</v>
      </c>
      <c r="D77" s="4" t="s">
        <v>71</v>
      </c>
      <c r="E77" s="4" t="s">
        <v>72</v>
      </c>
      <c r="F77" s="4" t="s">
        <v>103</v>
      </c>
      <c r="G77" s="4" t="s">
        <v>68</v>
      </c>
      <c r="H77" s="6">
        <v>17</v>
      </c>
      <c r="I77" s="7">
        <v>22.14</v>
      </c>
      <c r="J77" s="7">
        <v>376.38</v>
      </c>
      <c r="K77" s="7">
        <v>9.36</v>
      </c>
      <c r="L77" s="7">
        <v>159.12</v>
      </c>
      <c r="M77" s="7">
        <v>217.26</v>
      </c>
      <c r="N77" s="6">
        <v>132</v>
      </c>
      <c r="O77" s="6">
        <v>20</v>
      </c>
    </row>
    <row r="78" spans="1:15">
      <c r="A78" s="4" t="s">
        <v>168</v>
      </c>
      <c r="B78" s="5">
        <v>45566</v>
      </c>
      <c r="C78" s="4" t="s">
        <v>96</v>
      </c>
      <c r="D78" s="4" t="s">
        <v>97</v>
      </c>
      <c r="E78" s="4" t="s">
        <v>67</v>
      </c>
      <c r="F78" s="4" t="s">
        <v>119</v>
      </c>
      <c r="G78" s="4" t="s">
        <v>68</v>
      </c>
      <c r="H78" s="6">
        <v>16</v>
      </c>
      <c r="I78" s="7">
        <v>187.07</v>
      </c>
      <c r="J78" s="7">
        <v>2993.12</v>
      </c>
      <c r="K78" s="7">
        <v>103.94</v>
      </c>
      <c r="L78" s="7">
        <v>1663.04</v>
      </c>
      <c r="M78" s="7">
        <v>1330.08</v>
      </c>
      <c r="N78" s="6">
        <v>52</v>
      </c>
      <c r="O78" s="6">
        <v>20</v>
      </c>
    </row>
    <row r="79" spans="1:15">
      <c r="A79" s="4" t="s">
        <v>169</v>
      </c>
      <c r="B79" s="5">
        <v>45450</v>
      </c>
      <c r="C79" s="4" t="s">
        <v>59</v>
      </c>
      <c r="D79" s="4" t="s">
        <v>60</v>
      </c>
      <c r="E79" s="4" t="s">
        <v>61</v>
      </c>
      <c r="F79" s="4" t="s">
        <v>62</v>
      </c>
      <c r="G79" s="4" t="s">
        <v>99</v>
      </c>
      <c r="H79" s="6">
        <v>17</v>
      </c>
      <c r="I79" s="7">
        <v>180.61</v>
      </c>
      <c r="J79" s="7">
        <v>3070.37</v>
      </c>
      <c r="K79" s="7">
        <v>105.4</v>
      </c>
      <c r="L79" s="7">
        <v>1791.8</v>
      </c>
      <c r="M79" s="7">
        <v>1278.57</v>
      </c>
      <c r="N79" s="6">
        <v>51</v>
      </c>
      <c r="O79" s="6">
        <v>20</v>
      </c>
    </row>
    <row r="80" spans="1:15">
      <c r="A80" s="4" t="s">
        <v>170</v>
      </c>
      <c r="B80" s="5">
        <v>45583</v>
      </c>
      <c r="C80" s="4" t="s">
        <v>78</v>
      </c>
      <c r="D80" s="4" t="s">
        <v>79</v>
      </c>
      <c r="E80" s="4" t="s">
        <v>72</v>
      </c>
      <c r="F80" s="4" t="s">
        <v>82</v>
      </c>
      <c r="G80" s="4" t="s">
        <v>68</v>
      </c>
      <c r="H80" s="6">
        <v>15</v>
      </c>
      <c r="I80" s="7">
        <v>118.36</v>
      </c>
      <c r="J80" s="7">
        <v>1775.4</v>
      </c>
      <c r="K80" s="7">
        <v>49.19</v>
      </c>
      <c r="L80" s="7">
        <v>737.85</v>
      </c>
      <c r="M80" s="7">
        <v>1037.55</v>
      </c>
      <c r="N80" s="6">
        <v>23</v>
      </c>
      <c r="O80" s="6">
        <v>30</v>
      </c>
    </row>
    <row r="81" spans="1:15">
      <c r="A81" s="4" t="s">
        <v>171</v>
      </c>
      <c r="B81" s="5">
        <v>45381</v>
      </c>
      <c r="C81" s="4" t="s">
        <v>96</v>
      </c>
      <c r="D81" s="4" t="s">
        <v>97</v>
      </c>
      <c r="E81" s="4" t="s">
        <v>67</v>
      </c>
      <c r="F81" s="4" t="s">
        <v>62</v>
      </c>
      <c r="G81" s="4" t="s">
        <v>88</v>
      </c>
      <c r="H81" s="6">
        <v>8</v>
      </c>
      <c r="I81" s="7">
        <v>49</v>
      </c>
      <c r="J81" s="7">
        <v>392</v>
      </c>
      <c r="K81" s="7">
        <v>31.71</v>
      </c>
      <c r="L81" s="7">
        <v>253.68</v>
      </c>
      <c r="M81" s="7">
        <v>138.32</v>
      </c>
      <c r="N81" s="6">
        <v>110</v>
      </c>
      <c r="O81" s="6">
        <v>30</v>
      </c>
    </row>
    <row r="82" spans="1:15">
      <c r="A82" s="4" t="s">
        <v>172</v>
      </c>
      <c r="B82" s="5">
        <v>45414</v>
      </c>
      <c r="C82" s="4" t="s">
        <v>111</v>
      </c>
      <c r="D82" s="4" t="s">
        <v>112</v>
      </c>
      <c r="E82" s="4" t="s">
        <v>67</v>
      </c>
      <c r="F82" s="4" t="s">
        <v>119</v>
      </c>
      <c r="G82" s="4" t="s">
        <v>99</v>
      </c>
      <c r="H82" s="6">
        <v>9</v>
      </c>
      <c r="I82" s="7">
        <v>221.23</v>
      </c>
      <c r="J82" s="7">
        <v>1991.07</v>
      </c>
      <c r="K82" s="7">
        <v>136.08000000000001</v>
      </c>
      <c r="L82" s="7">
        <v>1224.72</v>
      </c>
      <c r="M82" s="7">
        <v>766.35</v>
      </c>
      <c r="N82" s="6">
        <v>170</v>
      </c>
      <c r="O82" s="6">
        <v>20</v>
      </c>
    </row>
    <row r="83" spans="1:15">
      <c r="A83" s="4" t="s">
        <v>173</v>
      </c>
      <c r="B83" s="5">
        <v>45345</v>
      </c>
      <c r="C83" s="4" t="s">
        <v>84</v>
      </c>
      <c r="D83" s="4" t="s">
        <v>85</v>
      </c>
      <c r="E83" s="4" t="s">
        <v>86</v>
      </c>
      <c r="F83" s="4" t="s">
        <v>62</v>
      </c>
      <c r="G83" s="4" t="s">
        <v>63</v>
      </c>
      <c r="H83" s="6">
        <v>14</v>
      </c>
      <c r="I83" s="7">
        <v>115.48</v>
      </c>
      <c r="J83" s="7">
        <v>1616.72</v>
      </c>
      <c r="K83" s="7">
        <v>57.87</v>
      </c>
      <c r="L83" s="7">
        <v>810.18</v>
      </c>
      <c r="M83" s="7">
        <v>806.54</v>
      </c>
      <c r="N83" s="6">
        <v>129</v>
      </c>
      <c r="O83" s="6">
        <v>20</v>
      </c>
    </row>
    <row r="84" spans="1:15">
      <c r="A84" s="4" t="s">
        <v>174</v>
      </c>
      <c r="B84" s="5">
        <v>45496</v>
      </c>
      <c r="C84" s="4" t="s">
        <v>59</v>
      </c>
      <c r="D84" s="4" t="s">
        <v>60</v>
      </c>
      <c r="E84" s="4" t="s">
        <v>61</v>
      </c>
      <c r="F84" s="4" t="s">
        <v>76</v>
      </c>
      <c r="G84" s="4" t="s">
        <v>88</v>
      </c>
      <c r="H84" s="6">
        <v>13</v>
      </c>
      <c r="I84" s="7">
        <v>14.25</v>
      </c>
      <c r="J84" s="7">
        <v>1182</v>
      </c>
      <c r="K84" s="7">
        <v>7.13</v>
      </c>
      <c r="L84" s="7">
        <v>92.69</v>
      </c>
      <c r="M84" s="7">
        <v>92.56</v>
      </c>
      <c r="N84" s="6">
        <v>181</v>
      </c>
      <c r="O84" s="6">
        <v>20</v>
      </c>
    </row>
    <row r="85" spans="1:15">
      <c r="A85" s="4" t="s">
        <v>175</v>
      </c>
      <c r="B85" s="5">
        <v>45416</v>
      </c>
      <c r="C85" s="4" t="s">
        <v>78</v>
      </c>
      <c r="D85" s="4" t="s">
        <v>79</v>
      </c>
      <c r="E85" s="4" t="s">
        <v>72</v>
      </c>
      <c r="F85" s="4" t="s">
        <v>62</v>
      </c>
      <c r="G85" s="4" t="s">
        <v>92</v>
      </c>
      <c r="H85" s="6">
        <v>5</v>
      </c>
      <c r="I85" s="7">
        <v>120.34</v>
      </c>
      <c r="J85" s="7">
        <v>601.70000000000005</v>
      </c>
      <c r="K85" s="7">
        <v>61.57</v>
      </c>
      <c r="L85" s="7">
        <v>307.85000000000002</v>
      </c>
      <c r="M85" s="7">
        <v>293.85000000000002</v>
      </c>
      <c r="N85" s="6">
        <v>41</v>
      </c>
      <c r="O85" s="6">
        <v>20</v>
      </c>
    </row>
    <row r="86" spans="1:15">
      <c r="A86" s="4" t="s">
        <v>176</v>
      </c>
      <c r="B86" s="5">
        <v>45331</v>
      </c>
      <c r="C86" s="4" t="s">
        <v>65</v>
      </c>
      <c r="D86" s="4" t="s">
        <v>66</v>
      </c>
      <c r="E86" s="4" t="s">
        <v>67</v>
      </c>
      <c r="F86" s="4" t="s">
        <v>62</v>
      </c>
      <c r="G86" s="4" t="s">
        <v>88</v>
      </c>
      <c r="H86" s="6">
        <v>9</v>
      </c>
      <c r="I86" s="7">
        <v>42.61</v>
      </c>
      <c r="J86" s="7">
        <v>1182</v>
      </c>
      <c r="K86" s="7">
        <v>23.15</v>
      </c>
      <c r="L86" s="7">
        <v>208.35</v>
      </c>
      <c r="M86" s="7">
        <v>175.14</v>
      </c>
      <c r="N86" s="6">
        <v>55</v>
      </c>
      <c r="O86" s="6">
        <v>50</v>
      </c>
    </row>
    <row r="87" spans="1:15">
      <c r="A87" s="4" t="s">
        <v>177</v>
      </c>
      <c r="B87" s="5">
        <v>45559</v>
      </c>
      <c r="C87" s="4" t="s">
        <v>90</v>
      </c>
      <c r="D87" s="4" t="s">
        <v>91</v>
      </c>
      <c r="E87" s="4" t="s">
        <v>72</v>
      </c>
      <c r="F87" s="4" t="s">
        <v>62</v>
      </c>
      <c r="G87" s="4" t="s">
        <v>99</v>
      </c>
      <c r="H87" s="6">
        <v>13</v>
      </c>
      <c r="I87" s="7">
        <v>174.13</v>
      </c>
      <c r="J87" s="7">
        <v>2263.69</v>
      </c>
      <c r="K87" s="7">
        <v>100.58</v>
      </c>
      <c r="L87" s="7">
        <v>1307.54</v>
      </c>
      <c r="M87" s="7">
        <v>956.15</v>
      </c>
      <c r="N87" s="6">
        <v>153</v>
      </c>
      <c r="O87" s="6">
        <v>20</v>
      </c>
    </row>
    <row r="88" spans="1:15">
      <c r="A88" s="4" t="s">
        <v>178</v>
      </c>
      <c r="B88" s="5">
        <v>45338</v>
      </c>
      <c r="C88" s="4" t="s">
        <v>65</v>
      </c>
      <c r="D88" s="4" t="s">
        <v>66</v>
      </c>
      <c r="E88" s="4" t="s">
        <v>67</v>
      </c>
      <c r="F88" s="4" t="s">
        <v>106</v>
      </c>
      <c r="G88" s="4" t="s">
        <v>88</v>
      </c>
      <c r="H88" s="6">
        <v>14</v>
      </c>
      <c r="I88" s="7">
        <v>11.85</v>
      </c>
      <c r="J88" s="7">
        <v>165.9</v>
      </c>
      <c r="K88" s="7">
        <v>4.8099999999999996</v>
      </c>
      <c r="L88" s="7">
        <v>67.34</v>
      </c>
      <c r="M88" s="7">
        <v>98.56</v>
      </c>
      <c r="N88" s="6">
        <v>49</v>
      </c>
      <c r="O88" s="6">
        <v>50</v>
      </c>
    </row>
    <row r="89" spans="1:15">
      <c r="A89" s="4" t="s">
        <v>179</v>
      </c>
      <c r="B89" s="5">
        <v>45377</v>
      </c>
      <c r="C89" s="4" t="s">
        <v>65</v>
      </c>
      <c r="D89" s="4" t="s">
        <v>66</v>
      </c>
      <c r="E89" s="4" t="s">
        <v>67</v>
      </c>
      <c r="F89" s="4" t="s">
        <v>119</v>
      </c>
      <c r="G89" s="4" t="s">
        <v>92</v>
      </c>
      <c r="H89" s="6">
        <v>14</v>
      </c>
      <c r="I89" s="7">
        <v>130.56</v>
      </c>
      <c r="J89" s="7">
        <v>1827.84</v>
      </c>
      <c r="K89" s="7">
        <v>94.82</v>
      </c>
      <c r="L89" s="7">
        <v>1327.48</v>
      </c>
      <c r="M89" s="7">
        <v>500.36</v>
      </c>
      <c r="N89" s="6">
        <v>82</v>
      </c>
      <c r="O89" s="6">
        <v>50</v>
      </c>
    </row>
    <row r="90" spans="1:15">
      <c r="A90" s="4" t="s">
        <v>180</v>
      </c>
      <c r="B90" s="5">
        <v>45401</v>
      </c>
      <c r="C90" s="4" t="s">
        <v>90</v>
      </c>
      <c r="D90" s="4" t="s">
        <v>91</v>
      </c>
      <c r="E90" s="4" t="s">
        <v>72</v>
      </c>
      <c r="F90" s="4" t="s">
        <v>62</v>
      </c>
      <c r="G90" s="4" t="s">
        <v>99</v>
      </c>
      <c r="H90" s="6">
        <v>12</v>
      </c>
      <c r="I90" s="7">
        <v>84.23</v>
      </c>
      <c r="J90" s="7">
        <v>1010.76</v>
      </c>
      <c r="K90" s="7">
        <v>34.200000000000003</v>
      </c>
      <c r="L90" s="7">
        <v>410.4</v>
      </c>
      <c r="M90" s="7">
        <v>600.36</v>
      </c>
      <c r="N90" s="6">
        <v>167</v>
      </c>
      <c r="O90" s="6">
        <v>30</v>
      </c>
    </row>
    <row r="91" spans="1:15">
      <c r="A91" s="4" t="s">
        <v>181</v>
      </c>
      <c r="B91" s="5">
        <v>45611</v>
      </c>
      <c r="C91" s="4" t="s">
        <v>84</v>
      </c>
      <c r="D91" s="4" t="s">
        <v>85</v>
      </c>
      <c r="E91" s="4" t="s">
        <v>86</v>
      </c>
      <c r="F91" s="4" t="s">
        <v>82</v>
      </c>
      <c r="G91" s="4" t="s">
        <v>63</v>
      </c>
      <c r="H91" s="6">
        <v>2</v>
      </c>
      <c r="I91" s="7">
        <v>21.5</v>
      </c>
      <c r="J91" s="7">
        <v>43</v>
      </c>
      <c r="K91" s="7">
        <v>10.48</v>
      </c>
      <c r="L91" s="7">
        <v>20.96</v>
      </c>
      <c r="M91" s="7">
        <v>22.04</v>
      </c>
      <c r="N91" s="6">
        <v>77</v>
      </c>
      <c r="O91" s="6">
        <v>50</v>
      </c>
    </row>
    <row r="92" spans="1:15">
      <c r="A92" s="4" t="s">
        <v>182</v>
      </c>
      <c r="B92" s="5">
        <v>45420</v>
      </c>
      <c r="C92" s="4" t="s">
        <v>90</v>
      </c>
      <c r="D92" s="4" t="s">
        <v>91</v>
      </c>
      <c r="E92" s="4" t="s">
        <v>72</v>
      </c>
      <c r="F92" s="4" t="s">
        <v>103</v>
      </c>
      <c r="G92" s="4" t="s">
        <v>68</v>
      </c>
      <c r="H92" s="6">
        <v>20</v>
      </c>
      <c r="I92" s="7">
        <v>84.47</v>
      </c>
      <c r="J92" s="7">
        <v>1689.4</v>
      </c>
      <c r="K92" s="7">
        <v>55.1</v>
      </c>
      <c r="L92" s="7">
        <v>1102</v>
      </c>
      <c r="M92" s="7">
        <v>587.4</v>
      </c>
      <c r="N92" s="6">
        <v>99</v>
      </c>
      <c r="O92" s="6">
        <v>50</v>
      </c>
    </row>
    <row r="93" spans="1:15">
      <c r="A93" s="4" t="s">
        <v>183</v>
      </c>
      <c r="B93" s="5">
        <v>45538</v>
      </c>
      <c r="C93" s="4" t="s">
        <v>90</v>
      </c>
      <c r="D93" s="4" t="s">
        <v>91</v>
      </c>
      <c r="E93" s="4" t="s">
        <v>72</v>
      </c>
      <c r="F93" s="4" t="s">
        <v>119</v>
      </c>
      <c r="G93" s="4" t="s">
        <v>92</v>
      </c>
      <c r="H93" s="6">
        <v>11</v>
      </c>
      <c r="I93" s="7">
        <v>9.32</v>
      </c>
      <c r="J93" s="7">
        <v>102.52</v>
      </c>
      <c r="K93" s="7">
        <v>7.13</v>
      </c>
      <c r="L93" s="7">
        <v>78.430000000000007</v>
      </c>
      <c r="M93" s="7">
        <v>24.09</v>
      </c>
      <c r="N93" s="6">
        <v>114</v>
      </c>
      <c r="O93" s="6">
        <v>30</v>
      </c>
    </row>
    <row r="94" spans="1:15">
      <c r="A94" s="4" t="s">
        <v>184</v>
      </c>
      <c r="B94" s="5">
        <v>45355</v>
      </c>
      <c r="C94" s="4" t="s">
        <v>70</v>
      </c>
      <c r="D94" s="4" t="s">
        <v>71</v>
      </c>
      <c r="E94" s="4" t="s">
        <v>72</v>
      </c>
      <c r="F94" s="4" t="s">
        <v>62</v>
      </c>
      <c r="G94" s="4" t="s">
        <v>74</v>
      </c>
      <c r="H94" s="6">
        <v>8</v>
      </c>
      <c r="I94" s="7">
        <v>185.79</v>
      </c>
      <c r="J94" s="7">
        <v>1486.32</v>
      </c>
      <c r="K94" s="7">
        <v>130.59</v>
      </c>
      <c r="L94" s="7">
        <v>1044.72</v>
      </c>
      <c r="M94" s="7">
        <v>441.6</v>
      </c>
      <c r="N94" s="6">
        <v>158</v>
      </c>
      <c r="O94" s="6">
        <v>20</v>
      </c>
    </row>
    <row r="95" spans="1:15">
      <c r="A95" s="4" t="s">
        <v>185</v>
      </c>
      <c r="B95" s="5">
        <v>45311</v>
      </c>
      <c r="C95" s="4" t="s">
        <v>59</v>
      </c>
      <c r="D95" s="4" t="s">
        <v>60</v>
      </c>
      <c r="E95" s="4" t="s">
        <v>61</v>
      </c>
      <c r="F95" s="4" t="s">
        <v>82</v>
      </c>
      <c r="G95" s="4" t="s">
        <v>68</v>
      </c>
      <c r="H95" s="6">
        <v>20</v>
      </c>
      <c r="I95" s="7">
        <v>247.2</v>
      </c>
      <c r="J95" s="7">
        <v>4944</v>
      </c>
      <c r="K95" s="7">
        <v>142.76</v>
      </c>
      <c r="L95" s="7">
        <v>2855.2</v>
      </c>
      <c r="M95" s="7">
        <v>2088.8000000000002</v>
      </c>
      <c r="N95" s="6">
        <v>84</v>
      </c>
      <c r="O95" s="6">
        <v>20</v>
      </c>
    </row>
    <row r="96" spans="1:15">
      <c r="A96" s="4" t="s">
        <v>186</v>
      </c>
      <c r="B96" s="5">
        <v>45439</v>
      </c>
      <c r="C96" s="4" t="s">
        <v>65</v>
      </c>
      <c r="D96" s="4" t="s">
        <v>66</v>
      </c>
      <c r="E96" s="4" t="s">
        <v>67</v>
      </c>
      <c r="F96" s="4" t="s">
        <v>62</v>
      </c>
      <c r="G96" s="4" t="s">
        <v>88</v>
      </c>
      <c r="H96" s="6">
        <v>8</v>
      </c>
      <c r="I96" s="7">
        <v>212.5</v>
      </c>
      <c r="J96" s="7">
        <v>1700</v>
      </c>
      <c r="K96" s="7">
        <v>113.16</v>
      </c>
      <c r="L96" s="7">
        <v>905.28</v>
      </c>
      <c r="M96" s="7">
        <v>794.72</v>
      </c>
      <c r="N96" s="6">
        <v>62</v>
      </c>
      <c r="O96" s="6">
        <v>20</v>
      </c>
    </row>
    <row r="97" spans="1:15">
      <c r="A97" s="4" t="s">
        <v>187</v>
      </c>
      <c r="B97" s="5">
        <v>45487</v>
      </c>
      <c r="C97" s="4" t="s">
        <v>84</v>
      </c>
      <c r="D97" s="4" t="s">
        <v>85</v>
      </c>
      <c r="E97" s="4" t="s">
        <v>86</v>
      </c>
      <c r="F97" s="4" t="s">
        <v>119</v>
      </c>
      <c r="G97" s="4" t="s">
        <v>63</v>
      </c>
      <c r="H97" s="6">
        <v>6</v>
      </c>
      <c r="I97" s="7">
        <v>113.38</v>
      </c>
      <c r="J97" s="7">
        <v>680.28</v>
      </c>
      <c r="K97" s="7">
        <v>71.95</v>
      </c>
      <c r="L97" s="7">
        <v>273.77999999999997</v>
      </c>
      <c r="M97" s="7">
        <v>406.5</v>
      </c>
      <c r="N97" s="6">
        <v>125</v>
      </c>
      <c r="O97" s="6">
        <v>20</v>
      </c>
    </row>
    <row r="98" spans="1:15">
      <c r="A98" s="4" t="s">
        <v>188</v>
      </c>
      <c r="B98" s="5">
        <v>45595</v>
      </c>
      <c r="C98" s="4" t="s">
        <v>59</v>
      </c>
      <c r="D98" s="4" t="s">
        <v>60</v>
      </c>
      <c r="E98" s="4" t="s">
        <v>61</v>
      </c>
      <c r="F98" s="4" t="s">
        <v>103</v>
      </c>
      <c r="G98" s="4" t="s">
        <v>88</v>
      </c>
      <c r="H98" s="6">
        <v>8</v>
      </c>
      <c r="I98" s="7">
        <v>129.32</v>
      </c>
      <c r="J98" s="7">
        <v>1034.56</v>
      </c>
      <c r="K98" s="7">
        <v>73.78</v>
      </c>
      <c r="L98" s="7">
        <v>590.24</v>
      </c>
      <c r="M98" s="7">
        <v>444.32</v>
      </c>
      <c r="N98" s="6">
        <v>119</v>
      </c>
      <c r="O98" s="6">
        <v>30</v>
      </c>
    </row>
    <row r="99" spans="1:15">
      <c r="A99" s="4" t="s">
        <v>189</v>
      </c>
      <c r="B99" s="5">
        <v>45587</v>
      </c>
      <c r="C99" s="4" t="s">
        <v>78</v>
      </c>
      <c r="D99" s="4" t="s">
        <v>79</v>
      </c>
      <c r="E99" s="4" t="s">
        <v>72</v>
      </c>
      <c r="F99" s="4" t="s">
        <v>62</v>
      </c>
      <c r="G99" s="4" t="s">
        <v>99</v>
      </c>
      <c r="H99" s="6">
        <v>7</v>
      </c>
      <c r="I99" s="7">
        <v>71.61</v>
      </c>
      <c r="J99" s="7">
        <v>501.27</v>
      </c>
      <c r="K99" s="7">
        <v>51.02</v>
      </c>
      <c r="L99" s="7">
        <v>357.14</v>
      </c>
      <c r="M99" s="7">
        <v>144.13</v>
      </c>
      <c r="N99" s="6">
        <v>20</v>
      </c>
      <c r="O99" s="6">
        <v>30</v>
      </c>
    </row>
    <row r="100" spans="1:15">
      <c r="A100" s="4" t="s">
        <v>190</v>
      </c>
      <c r="B100" s="5">
        <v>45371</v>
      </c>
      <c r="C100" s="4" t="s">
        <v>78</v>
      </c>
      <c r="D100" s="4" t="s">
        <v>79</v>
      </c>
      <c r="E100" s="4" t="s">
        <v>72</v>
      </c>
      <c r="F100" s="4" t="s">
        <v>103</v>
      </c>
      <c r="G100" s="4" t="s">
        <v>92</v>
      </c>
      <c r="H100" s="6">
        <v>1</v>
      </c>
      <c r="I100" s="7">
        <v>191.67</v>
      </c>
      <c r="J100" s="7">
        <v>191.67</v>
      </c>
      <c r="K100" s="7">
        <v>109.44</v>
      </c>
      <c r="L100" s="7">
        <v>109.44</v>
      </c>
      <c r="M100" s="7">
        <v>82.23</v>
      </c>
      <c r="N100" s="6">
        <v>21</v>
      </c>
      <c r="O100" s="6">
        <v>30</v>
      </c>
    </row>
    <row r="101" spans="1:15">
      <c r="A101" s="4" t="s">
        <v>191</v>
      </c>
      <c r="B101" s="5">
        <v>45484</v>
      </c>
      <c r="C101" s="4" t="s">
        <v>78</v>
      </c>
      <c r="D101" s="4" t="s">
        <v>79</v>
      </c>
      <c r="E101" s="4" t="s">
        <v>72</v>
      </c>
      <c r="F101" s="4" t="s">
        <v>62</v>
      </c>
      <c r="G101" s="4" t="s">
        <v>63</v>
      </c>
      <c r="H101" s="6">
        <v>3</v>
      </c>
      <c r="I101" s="7">
        <v>86.64</v>
      </c>
      <c r="J101" s="7">
        <v>259.92</v>
      </c>
      <c r="K101" s="7">
        <v>59.43</v>
      </c>
      <c r="L101" s="7">
        <v>178.29</v>
      </c>
      <c r="M101" s="7">
        <v>81.63</v>
      </c>
      <c r="N101" s="6">
        <v>50</v>
      </c>
      <c r="O101" s="6">
        <v>20</v>
      </c>
    </row>
    <row r="102" spans="1:15">
      <c r="A102" s="4" t="s">
        <v>192</v>
      </c>
      <c r="B102" s="5">
        <v>45504</v>
      </c>
      <c r="C102" s="4" t="s">
        <v>96</v>
      </c>
      <c r="D102" s="4" t="s">
        <v>97</v>
      </c>
      <c r="E102" s="4" t="s">
        <v>67</v>
      </c>
      <c r="F102" s="4" t="s">
        <v>62</v>
      </c>
      <c r="G102" s="4" t="s">
        <v>63</v>
      </c>
      <c r="H102" s="6">
        <v>12</v>
      </c>
      <c r="I102" s="7">
        <v>99.09</v>
      </c>
      <c r="J102" s="7">
        <v>1189.08</v>
      </c>
      <c r="K102" s="7">
        <v>51.84</v>
      </c>
      <c r="L102" s="7">
        <v>622.08000000000004</v>
      </c>
      <c r="M102" s="7">
        <v>567</v>
      </c>
      <c r="N102" s="6">
        <v>150</v>
      </c>
      <c r="O102" s="6">
        <v>20</v>
      </c>
    </row>
    <row r="103" spans="1:15">
      <c r="A103" s="4" t="s">
        <v>193</v>
      </c>
      <c r="B103" s="5">
        <v>45515</v>
      </c>
      <c r="C103" s="4" t="s">
        <v>70</v>
      </c>
      <c r="D103" s="4" t="s">
        <v>71</v>
      </c>
      <c r="E103" s="4" t="s">
        <v>72</v>
      </c>
      <c r="F103" s="4" t="s">
        <v>62</v>
      </c>
      <c r="G103" s="4" t="s">
        <v>88</v>
      </c>
      <c r="H103" s="6">
        <v>12</v>
      </c>
      <c r="I103" s="7">
        <v>129.85</v>
      </c>
      <c r="J103" s="7">
        <v>1558.2</v>
      </c>
      <c r="K103" s="7">
        <v>77.319999999999993</v>
      </c>
      <c r="L103" s="7">
        <v>927.84</v>
      </c>
      <c r="M103" s="7">
        <v>630.36</v>
      </c>
      <c r="N103" s="6">
        <v>176</v>
      </c>
      <c r="O103" s="6">
        <v>30</v>
      </c>
    </row>
    <row r="104" spans="1:15">
      <c r="A104" s="4" t="s">
        <v>194</v>
      </c>
      <c r="B104" s="5">
        <v>45477</v>
      </c>
      <c r="C104" s="4" t="s">
        <v>65</v>
      </c>
      <c r="D104" s="4" t="s">
        <v>66</v>
      </c>
      <c r="E104" s="4" t="s">
        <v>67</v>
      </c>
      <c r="F104" s="4" t="s">
        <v>82</v>
      </c>
      <c r="G104" s="4" t="s">
        <v>74</v>
      </c>
      <c r="H104" s="6">
        <v>5</v>
      </c>
      <c r="I104" s="7">
        <v>69.03</v>
      </c>
      <c r="J104" s="7">
        <v>345.15</v>
      </c>
      <c r="K104" s="7">
        <v>71.95</v>
      </c>
      <c r="L104" s="7">
        <v>200.95</v>
      </c>
      <c r="M104" s="7">
        <v>144.19999999999999</v>
      </c>
      <c r="N104" s="6">
        <v>174</v>
      </c>
      <c r="O104" s="6">
        <v>20</v>
      </c>
    </row>
    <row r="105" spans="1:15">
      <c r="A105" s="4" t="s">
        <v>195</v>
      </c>
      <c r="B105" s="5">
        <v>45339</v>
      </c>
      <c r="C105" s="4" t="s">
        <v>96</v>
      </c>
      <c r="D105" s="4" t="s">
        <v>97</v>
      </c>
      <c r="E105" s="4" t="s">
        <v>67</v>
      </c>
      <c r="F105" s="4" t="s">
        <v>119</v>
      </c>
      <c r="G105" s="4" t="s">
        <v>99</v>
      </c>
      <c r="H105" s="6">
        <v>13</v>
      </c>
      <c r="I105" s="7">
        <v>177.99</v>
      </c>
      <c r="J105" s="7">
        <v>2313.87</v>
      </c>
      <c r="K105" s="7">
        <v>140.55000000000001</v>
      </c>
      <c r="L105" s="7">
        <v>1827.15</v>
      </c>
      <c r="M105" s="7">
        <v>486.72</v>
      </c>
      <c r="N105" s="6">
        <v>20</v>
      </c>
      <c r="O105" s="6">
        <v>50</v>
      </c>
    </row>
    <row r="106" spans="1:15">
      <c r="A106" s="4" t="s">
        <v>196</v>
      </c>
      <c r="B106" s="5">
        <v>45564</v>
      </c>
      <c r="C106" s="4" t="s">
        <v>96</v>
      </c>
      <c r="D106" s="4" t="s">
        <v>97</v>
      </c>
      <c r="E106" s="4" t="s">
        <v>67</v>
      </c>
      <c r="F106" s="4" t="s">
        <v>106</v>
      </c>
      <c r="G106" s="4" t="s">
        <v>88</v>
      </c>
      <c r="H106" s="6">
        <v>19</v>
      </c>
      <c r="I106" s="7">
        <v>80.45</v>
      </c>
      <c r="J106" s="7">
        <v>1528.55</v>
      </c>
      <c r="K106" s="7">
        <v>45.43</v>
      </c>
      <c r="L106" s="7">
        <v>863.17</v>
      </c>
      <c r="M106" s="7">
        <v>665.38</v>
      </c>
      <c r="N106" s="6">
        <v>186</v>
      </c>
      <c r="O106" s="6">
        <v>20</v>
      </c>
    </row>
    <row r="107" spans="1:15">
      <c r="A107" s="4" t="s">
        <v>197</v>
      </c>
      <c r="B107" s="5">
        <v>45399</v>
      </c>
      <c r="C107" s="4" t="s">
        <v>96</v>
      </c>
      <c r="D107" s="4" t="s">
        <v>97</v>
      </c>
      <c r="E107" s="4" t="s">
        <v>67</v>
      </c>
      <c r="F107" s="4" t="s">
        <v>106</v>
      </c>
      <c r="G107" s="4" t="s">
        <v>63</v>
      </c>
      <c r="H107" s="6">
        <v>10</v>
      </c>
      <c r="I107" s="7">
        <v>6.57</v>
      </c>
      <c r="J107" s="7">
        <v>65.7</v>
      </c>
      <c r="K107" s="7">
        <v>3.07</v>
      </c>
      <c r="L107" s="7">
        <v>30.7</v>
      </c>
      <c r="M107" s="7">
        <v>35</v>
      </c>
      <c r="N107" s="6">
        <v>125</v>
      </c>
      <c r="O107" s="6">
        <v>20</v>
      </c>
    </row>
    <row r="108" spans="1:15">
      <c r="A108" s="4" t="s">
        <v>198</v>
      </c>
      <c r="B108" s="5">
        <v>45512</v>
      </c>
      <c r="C108" s="4" t="s">
        <v>111</v>
      </c>
      <c r="D108" s="4" t="s">
        <v>112</v>
      </c>
      <c r="E108" s="4" t="s">
        <v>67</v>
      </c>
      <c r="F108" s="4" t="s">
        <v>103</v>
      </c>
      <c r="G108" s="4" t="s">
        <v>92</v>
      </c>
      <c r="H108" s="6">
        <v>6</v>
      </c>
      <c r="I108" s="7">
        <v>96.79</v>
      </c>
      <c r="J108" s="7">
        <v>580.74</v>
      </c>
      <c r="K108" s="7">
        <v>65.97</v>
      </c>
      <c r="L108" s="7">
        <v>395.82</v>
      </c>
      <c r="M108" s="7">
        <v>184.92</v>
      </c>
      <c r="N108" s="6">
        <v>50</v>
      </c>
      <c r="O108" s="6">
        <v>30</v>
      </c>
    </row>
    <row r="109" spans="1:15">
      <c r="A109" s="4" t="s">
        <v>199</v>
      </c>
      <c r="B109" s="5">
        <v>45322</v>
      </c>
      <c r="C109" s="4" t="s">
        <v>111</v>
      </c>
      <c r="D109" s="4" t="s">
        <v>112</v>
      </c>
      <c r="E109" s="4" t="s">
        <v>67</v>
      </c>
      <c r="F109" s="4" t="s">
        <v>106</v>
      </c>
      <c r="G109" s="4" t="s">
        <v>88</v>
      </c>
      <c r="H109" s="6">
        <v>7</v>
      </c>
      <c r="I109" s="7">
        <v>68.540000000000006</v>
      </c>
      <c r="J109" s="7">
        <v>479.78</v>
      </c>
      <c r="K109" s="7">
        <v>52.15</v>
      </c>
      <c r="L109" s="7">
        <v>365.05</v>
      </c>
      <c r="M109" s="7">
        <v>114.73</v>
      </c>
      <c r="N109" s="6">
        <v>104</v>
      </c>
      <c r="O109" s="6">
        <v>30</v>
      </c>
    </row>
    <row r="110" spans="1:15">
      <c r="A110" s="4" t="s">
        <v>200</v>
      </c>
      <c r="B110" s="5">
        <v>45467</v>
      </c>
      <c r="C110" s="4" t="s">
        <v>65</v>
      </c>
      <c r="D110" s="4" t="s">
        <v>66</v>
      </c>
      <c r="E110" s="4" t="s">
        <v>67</v>
      </c>
      <c r="F110" s="4" t="s">
        <v>62</v>
      </c>
      <c r="G110" s="4" t="s">
        <v>63</v>
      </c>
      <c r="H110" s="6">
        <v>19</v>
      </c>
      <c r="I110" s="7">
        <v>62.52</v>
      </c>
      <c r="J110" s="7">
        <v>1187.8800000000001</v>
      </c>
      <c r="K110" s="7">
        <v>37.14</v>
      </c>
      <c r="L110" s="7">
        <v>705.66</v>
      </c>
      <c r="M110" s="7">
        <v>482.22</v>
      </c>
      <c r="N110" s="6">
        <v>194</v>
      </c>
      <c r="O110" s="6">
        <v>20</v>
      </c>
    </row>
    <row r="111" spans="1:15">
      <c r="A111" s="4" t="s">
        <v>201</v>
      </c>
      <c r="B111" s="5">
        <v>45313</v>
      </c>
      <c r="C111" s="4" t="s">
        <v>90</v>
      </c>
      <c r="D111" s="4" t="s">
        <v>91</v>
      </c>
      <c r="E111" s="4" t="s">
        <v>72</v>
      </c>
      <c r="F111" s="4" t="s">
        <v>82</v>
      </c>
      <c r="G111" s="4" t="s">
        <v>99</v>
      </c>
      <c r="H111" s="6">
        <v>7</v>
      </c>
      <c r="I111" s="7">
        <v>132.97</v>
      </c>
      <c r="J111" s="7">
        <v>930.79</v>
      </c>
      <c r="K111" s="7">
        <v>53.57</v>
      </c>
      <c r="L111" s="7">
        <v>374.99</v>
      </c>
      <c r="M111" s="7">
        <v>555.79999999999995</v>
      </c>
      <c r="N111" s="6">
        <v>154</v>
      </c>
      <c r="O111" s="6">
        <v>50</v>
      </c>
    </row>
    <row r="112" spans="1:15">
      <c r="A112" s="4" t="s">
        <v>202</v>
      </c>
      <c r="B112" s="5">
        <v>45467</v>
      </c>
      <c r="C112" s="4" t="s">
        <v>84</v>
      </c>
      <c r="D112" s="4" t="s">
        <v>85</v>
      </c>
      <c r="E112" s="4" t="s">
        <v>86</v>
      </c>
      <c r="F112" s="4" t="s">
        <v>62</v>
      </c>
      <c r="G112" s="4" t="s">
        <v>68</v>
      </c>
      <c r="H112" s="6">
        <v>8</v>
      </c>
      <c r="I112" s="7">
        <v>235.54</v>
      </c>
      <c r="J112" s="7">
        <v>1182</v>
      </c>
      <c r="K112" s="7">
        <v>156.88</v>
      </c>
      <c r="L112" s="7">
        <v>1255.04</v>
      </c>
      <c r="M112" s="7">
        <v>629.28</v>
      </c>
      <c r="N112" s="6">
        <v>96</v>
      </c>
      <c r="O112" s="6">
        <v>50</v>
      </c>
    </row>
    <row r="113" spans="1:15">
      <c r="A113" s="4" t="s">
        <v>203</v>
      </c>
      <c r="B113" s="5">
        <v>45497</v>
      </c>
      <c r="C113" s="4" t="s">
        <v>111</v>
      </c>
      <c r="D113" s="4" t="s">
        <v>112</v>
      </c>
      <c r="E113" s="4" t="s">
        <v>67</v>
      </c>
      <c r="F113" s="4" t="s">
        <v>119</v>
      </c>
      <c r="G113" s="4" t="s">
        <v>68</v>
      </c>
      <c r="H113" s="6">
        <v>1</v>
      </c>
      <c r="I113" s="7">
        <v>152.47</v>
      </c>
      <c r="J113" s="7">
        <v>152.47</v>
      </c>
      <c r="K113" s="7">
        <v>113.99</v>
      </c>
      <c r="L113" s="7">
        <v>113.99</v>
      </c>
      <c r="M113" s="7">
        <v>38.479999999999997</v>
      </c>
      <c r="N113" s="6">
        <v>71</v>
      </c>
      <c r="O113" s="6">
        <v>50</v>
      </c>
    </row>
    <row r="114" spans="1:15">
      <c r="A114" s="4" t="s">
        <v>204</v>
      </c>
      <c r="B114" s="5">
        <v>45388</v>
      </c>
      <c r="C114" s="4" t="s">
        <v>65</v>
      </c>
      <c r="D114" s="4" t="s">
        <v>66</v>
      </c>
      <c r="E114" s="4" t="s">
        <v>67</v>
      </c>
      <c r="F114" s="4" t="s">
        <v>76</v>
      </c>
      <c r="G114" s="4" t="s">
        <v>88</v>
      </c>
      <c r="H114" s="6">
        <v>11</v>
      </c>
      <c r="I114" s="7">
        <v>9.07</v>
      </c>
      <c r="J114" s="7">
        <v>99.77</v>
      </c>
      <c r="K114" s="7">
        <v>4.93</v>
      </c>
      <c r="L114" s="7">
        <v>54.23</v>
      </c>
      <c r="M114" s="7">
        <v>45.54</v>
      </c>
      <c r="N114" s="6">
        <v>11</v>
      </c>
      <c r="O114" s="6">
        <v>50</v>
      </c>
    </row>
    <row r="115" spans="1:15">
      <c r="A115" s="4" t="s">
        <v>205</v>
      </c>
      <c r="B115" s="5">
        <v>45333</v>
      </c>
      <c r="C115" s="4" t="s">
        <v>84</v>
      </c>
      <c r="D115" s="4" t="s">
        <v>85</v>
      </c>
      <c r="E115" s="4" t="s">
        <v>86</v>
      </c>
      <c r="F115" s="4" t="s">
        <v>106</v>
      </c>
      <c r="G115" s="4" t="s">
        <v>88</v>
      </c>
      <c r="H115" s="6">
        <v>14</v>
      </c>
      <c r="I115" s="7">
        <v>235.08</v>
      </c>
      <c r="J115" s="7">
        <v>3291.12</v>
      </c>
      <c r="K115" s="7">
        <v>182.56</v>
      </c>
      <c r="L115" s="7">
        <v>2555.84</v>
      </c>
      <c r="M115" s="7">
        <v>735.28</v>
      </c>
      <c r="N115" s="6">
        <v>121</v>
      </c>
      <c r="O115" s="6">
        <v>50</v>
      </c>
    </row>
    <row r="116" spans="1:15">
      <c r="A116" s="4" t="s">
        <v>206</v>
      </c>
      <c r="B116" s="5">
        <v>45584</v>
      </c>
      <c r="C116" s="4" t="s">
        <v>65</v>
      </c>
      <c r="D116" s="4" t="s">
        <v>66</v>
      </c>
      <c r="E116" s="4" t="s">
        <v>67</v>
      </c>
      <c r="F116" s="4" t="s">
        <v>82</v>
      </c>
      <c r="G116" s="4" t="s">
        <v>74</v>
      </c>
      <c r="H116" s="6">
        <v>5</v>
      </c>
      <c r="I116" s="7">
        <v>126.99</v>
      </c>
      <c r="J116" s="7">
        <v>634.95000000000005</v>
      </c>
      <c r="K116" s="7">
        <v>55.22</v>
      </c>
      <c r="L116" s="7">
        <v>276.10000000000002</v>
      </c>
      <c r="M116" s="7">
        <v>358.85</v>
      </c>
      <c r="N116" s="6">
        <v>172</v>
      </c>
      <c r="O116" s="6">
        <v>50</v>
      </c>
    </row>
    <row r="117" spans="1:15">
      <c r="A117" s="4" t="s">
        <v>207</v>
      </c>
      <c r="B117" s="5">
        <v>45416</v>
      </c>
      <c r="C117" s="4" t="s">
        <v>59</v>
      </c>
      <c r="D117" s="4" t="s">
        <v>60</v>
      </c>
      <c r="E117" s="4" t="s">
        <v>61</v>
      </c>
      <c r="F117" s="4" t="s">
        <v>62</v>
      </c>
      <c r="G117" s="4" t="s">
        <v>88</v>
      </c>
      <c r="H117" s="6">
        <v>6</v>
      </c>
      <c r="I117" s="7">
        <v>189.55</v>
      </c>
      <c r="J117" s="7">
        <v>1137.3</v>
      </c>
      <c r="K117" s="7">
        <v>125.84</v>
      </c>
      <c r="L117" s="7">
        <v>755.04</v>
      </c>
      <c r="M117" s="7">
        <v>382.26</v>
      </c>
      <c r="N117" s="6">
        <v>22</v>
      </c>
      <c r="O117" s="6">
        <v>20</v>
      </c>
    </row>
    <row r="118" spans="1:15">
      <c r="A118" s="4" t="s">
        <v>208</v>
      </c>
      <c r="B118" s="5">
        <v>45435</v>
      </c>
      <c r="C118" s="4" t="s">
        <v>59</v>
      </c>
      <c r="D118" s="4" t="s">
        <v>60</v>
      </c>
      <c r="E118" s="4" t="s">
        <v>61</v>
      </c>
      <c r="F118" s="4" t="s">
        <v>103</v>
      </c>
      <c r="G118" s="4" t="s">
        <v>92</v>
      </c>
      <c r="H118" s="6">
        <v>9</v>
      </c>
      <c r="I118" s="7">
        <v>168.15</v>
      </c>
      <c r="J118" s="7">
        <v>1513.35</v>
      </c>
      <c r="K118" s="7">
        <v>131.26</v>
      </c>
      <c r="L118" s="7">
        <v>1181.3399999999999</v>
      </c>
      <c r="M118" s="7">
        <v>332.01</v>
      </c>
      <c r="N118" s="6">
        <v>171</v>
      </c>
      <c r="O118" s="6">
        <v>20</v>
      </c>
    </row>
    <row r="119" spans="1:15">
      <c r="A119" s="4" t="s">
        <v>209</v>
      </c>
      <c r="B119" s="5">
        <v>45406</v>
      </c>
      <c r="C119" s="4" t="s">
        <v>90</v>
      </c>
      <c r="D119" s="4" t="s">
        <v>91</v>
      </c>
      <c r="E119" s="4" t="s">
        <v>72</v>
      </c>
      <c r="F119" s="4" t="s">
        <v>62</v>
      </c>
      <c r="G119" s="4" t="s">
        <v>88</v>
      </c>
      <c r="H119" s="6">
        <v>11</v>
      </c>
      <c r="I119" s="7">
        <v>97.37</v>
      </c>
      <c r="J119" s="7">
        <v>1071.07</v>
      </c>
      <c r="K119" s="7">
        <v>66.89</v>
      </c>
      <c r="L119" s="7">
        <v>735.79</v>
      </c>
      <c r="M119" s="7">
        <v>335.28</v>
      </c>
      <c r="N119" s="6">
        <v>188</v>
      </c>
      <c r="O119" s="6">
        <v>50</v>
      </c>
    </row>
    <row r="120" spans="1:15">
      <c r="A120" s="4" t="s">
        <v>210</v>
      </c>
      <c r="B120" s="5">
        <v>45406</v>
      </c>
      <c r="C120" s="4" t="s">
        <v>70</v>
      </c>
      <c r="D120" s="4" t="s">
        <v>71</v>
      </c>
      <c r="E120" s="4" t="s">
        <v>72</v>
      </c>
      <c r="F120" s="4" t="s">
        <v>119</v>
      </c>
      <c r="G120" s="4" t="s">
        <v>88</v>
      </c>
      <c r="H120" s="6">
        <v>4</v>
      </c>
      <c r="I120" s="7">
        <v>76.290000000000006</v>
      </c>
      <c r="J120" s="7">
        <v>305.16000000000003</v>
      </c>
      <c r="K120" s="7">
        <v>33.909999999999997</v>
      </c>
      <c r="L120" s="7">
        <v>135.63999999999999</v>
      </c>
      <c r="M120" s="7">
        <v>169.52</v>
      </c>
      <c r="N120" s="6">
        <v>87</v>
      </c>
      <c r="O120" s="6">
        <v>50</v>
      </c>
    </row>
    <row r="121" spans="1:15">
      <c r="A121" s="4" t="s">
        <v>211</v>
      </c>
      <c r="B121" s="5">
        <v>45486</v>
      </c>
      <c r="C121" s="4" t="s">
        <v>65</v>
      </c>
      <c r="D121" s="4" t="s">
        <v>66</v>
      </c>
      <c r="E121" s="4" t="s">
        <v>67</v>
      </c>
      <c r="F121" s="4" t="s">
        <v>76</v>
      </c>
      <c r="G121" s="4" t="s">
        <v>68</v>
      </c>
      <c r="H121" s="6">
        <v>10</v>
      </c>
      <c r="I121" s="7">
        <v>20.16</v>
      </c>
      <c r="J121" s="7">
        <v>201.6</v>
      </c>
      <c r="K121" s="7">
        <v>12.38</v>
      </c>
      <c r="L121" s="7">
        <v>123.8</v>
      </c>
      <c r="M121" s="7">
        <v>77.8</v>
      </c>
      <c r="N121" s="6">
        <v>99</v>
      </c>
      <c r="O121" s="6">
        <v>30</v>
      </c>
    </row>
    <row r="122" spans="1:15">
      <c r="A122" s="4" t="s">
        <v>212</v>
      </c>
      <c r="B122" s="5">
        <v>45594</v>
      </c>
      <c r="C122" s="4" t="s">
        <v>59</v>
      </c>
      <c r="D122" s="4" t="s">
        <v>60</v>
      </c>
      <c r="E122" s="4" t="s">
        <v>61</v>
      </c>
      <c r="F122" s="4" t="s">
        <v>103</v>
      </c>
      <c r="G122" s="4" t="s">
        <v>68</v>
      </c>
      <c r="H122" s="6">
        <v>4</v>
      </c>
      <c r="I122" s="7">
        <v>101.85</v>
      </c>
      <c r="J122" s="7">
        <v>407.4</v>
      </c>
      <c r="K122" s="7">
        <v>62.67</v>
      </c>
      <c r="L122" s="7">
        <v>250.68</v>
      </c>
      <c r="M122" s="7">
        <v>156.72</v>
      </c>
      <c r="N122" s="6">
        <v>117</v>
      </c>
      <c r="O122" s="6">
        <v>30</v>
      </c>
    </row>
    <row r="123" spans="1:15">
      <c r="A123" s="4" t="s">
        <v>213</v>
      </c>
      <c r="B123" s="5">
        <v>45366</v>
      </c>
      <c r="C123" s="4" t="s">
        <v>65</v>
      </c>
      <c r="D123" s="4" t="s">
        <v>66</v>
      </c>
      <c r="E123" s="4" t="s">
        <v>67</v>
      </c>
      <c r="F123" s="4" t="s">
        <v>82</v>
      </c>
      <c r="G123" s="4" t="s">
        <v>88</v>
      </c>
      <c r="H123" s="6">
        <v>20</v>
      </c>
      <c r="I123" s="7">
        <v>83.43</v>
      </c>
      <c r="J123" s="7">
        <v>1668.6</v>
      </c>
      <c r="K123" s="7">
        <v>50.14</v>
      </c>
      <c r="L123" s="7">
        <v>1002.8</v>
      </c>
      <c r="M123" s="7">
        <v>665.8</v>
      </c>
      <c r="N123" s="6">
        <v>176</v>
      </c>
      <c r="O123" s="6">
        <v>20</v>
      </c>
    </row>
    <row r="124" spans="1:15">
      <c r="A124" s="4" t="s">
        <v>214</v>
      </c>
      <c r="B124" s="5">
        <v>45484</v>
      </c>
      <c r="C124" s="4" t="s">
        <v>65</v>
      </c>
      <c r="D124" s="4" t="s">
        <v>66</v>
      </c>
      <c r="E124" s="4" t="s">
        <v>67</v>
      </c>
      <c r="F124" s="4" t="s">
        <v>62</v>
      </c>
      <c r="G124" s="4" t="s">
        <v>74</v>
      </c>
      <c r="H124" s="6">
        <v>11</v>
      </c>
      <c r="I124" s="7">
        <v>42.41</v>
      </c>
      <c r="J124" s="7">
        <v>466.51</v>
      </c>
      <c r="K124" s="7">
        <v>29.12</v>
      </c>
      <c r="L124" s="7">
        <v>320.32</v>
      </c>
      <c r="M124" s="7">
        <v>146.19</v>
      </c>
      <c r="N124" s="6">
        <v>187</v>
      </c>
      <c r="O124" s="6">
        <v>20</v>
      </c>
    </row>
    <row r="125" spans="1:15">
      <c r="A125" s="4" t="s">
        <v>215</v>
      </c>
      <c r="B125" s="5">
        <v>45373</v>
      </c>
      <c r="C125" s="4" t="s">
        <v>65</v>
      </c>
      <c r="D125" s="4" t="s">
        <v>66</v>
      </c>
      <c r="E125" s="4" t="s">
        <v>67</v>
      </c>
      <c r="F125" s="4" t="s">
        <v>62</v>
      </c>
      <c r="G125" s="4" t="s">
        <v>99</v>
      </c>
      <c r="H125" s="6">
        <v>18</v>
      </c>
      <c r="I125" s="7">
        <v>101.11</v>
      </c>
      <c r="J125" s="7">
        <v>1819.98</v>
      </c>
      <c r="K125" s="7">
        <v>57.53</v>
      </c>
      <c r="L125" s="7">
        <v>1035.54</v>
      </c>
      <c r="M125" s="7">
        <v>784.44</v>
      </c>
      <c r="N125" s="6">
        <v>121</v>
      </c>
      <c r="O125" s="6">
        <v>30</v>
      </c>
    </row>
    <row r="126" spans="1:15">
      <c r="A126" s="4" t="s">
        <v>216</v>
      </c>
      <c r="B126" s="5">
        <v>45572</v>
      </c>
      <c r="C126" s="4" t="s">
        <v>96</v>
      </c>
      <c r="D126" s="4" t="s">
        <v>97</v>
      </c>
      <c r="E126" s="4" t="s">
        <v>67</v>
      </c>
      <c r="F126" s="4" t="s">
        <v>82</v>
      </c>
      <c r="G126" s="4" t="s">
        <v>99</v>
      </c>
      <c r="H126" s="6">
        <v>4</v>
      </c>
      <c r="I126" s="7">
        <v>37.07</v>
      </c>
      <c r="J126" s="7">
        <v>148.28</v>
      </c>
      <c r="K126" s="7">
        <v>25.98</v>
      </c>
      <c r="L126" s="7">
        <v>103.92</v>
      </c>
      <c r="M126" s="7">
        <v>44.36</v>
      </c>
      <c r="N126" s="6">
        <v>148</v>
      </c>
      <c r="O126" s="6">
        <v>20</v>
      </c>
    </row>
    <row r="127" spans="1:15">
      <c r="A127" s="4" t="s">
        <v>217</v>
      </c>
      <c r="B127" s="5">
        <v>45366</v>
      </c>
      <c r="C127" s="4" t="s">
        <v>59</v>
      </c>
      <c r="D127" s="4" t="s">
        <v>60</v>
      </c>
      <c r="E127" s="4" t="s">
        <v>61</v>
      </c>
      <c r="F127" s="4" t="s">
        <v>76</v>
      </c>
      <c r="G127" s="4" t="s">
        <v>88</v>
      </c>
      <c r="H127" s="6">
        <v>7</v>
      </c>
      <c r="I127" s="7">
        <v>202.07</v>
      </c>
      <c r="J127" s="7">
        <v>1414.49</v>
      </c>
      <c r="K127" s="7">
        <v>96.64</v>
      </c>
      <c r="L127" s="7">
        <v>676.48</v>
      </c>
      <c r="M127" s="7">
        <v>738.01</v>
      </c>
      <c r="N127" s="6">
        <v>166</v>
      </c>
      <c r="O127" s="6">
        <v>20</v>
      </c>
    </row>
    <row r="128" spans="1:15">
      <c r="A128" s="4" t="s">
        <v>218</v>
      </c>
      <c r="B128" s="5">
        <v>45484</v>
      </c>
      <c r="C128" s="4" t="s">
        <v>96</v>
      </c>
      <c r="D128" s="4" t="s">
        <v>97</v>
      </c>
      <c r="E128" s="4" t="s">
        <v>67</v>
      </c>
      <c r="F128" s="4" t="s">
        <v>62</v>
      </c>
      <c r="G128" s="4" t="s">
        <v>63</v>
      </c>
      <c r="H128" s="6">
        <v>6</v>
      </c>
      <c r="I128" s="7">
        <v>231.87</v>
      </c>
      <c r="J128" s="7">
        <v>1391.22</v>
      </c>
      <c r="K128" s="7">
        <v>101.66</v>
      </c>
      <c r="L128" s="7">
        <v>609.96</v>
      </c>
      <c r="M128" s="7">
        <v>781.26</v>
      </c>
      <c r="N128" s="6">
        <v>121</v>
      </c>
      <c r="O128" s="6">
        <v>20</v>
      </c>
    </row>
    <row r="129" spans="1:15">
      <c r="A129" s="4" t="s">
        <v>219</v>
      </c>
      <c r="B129" s="5">
        <v>45613</v>
      </c>
      <c r="C129" s="4" t="s">
        <v>96</v>
      </c>
      <c r="D129" s="4" t="s">
        <v>97</v>
      </c>
      <c r="E129" s="4" t="s">
        <v>67</v>
      </c>
      <c r="F129" s="4" t="s">
        <v>103</v>
      </c>
      <c r="G129" s="4" t="s">
        <v>88</v>
      </c>
      <c r="H129" s="6">
        <v>8</v>
      </c>
      <c r="I129" s="7">
        <v>13.33</v>
      </c>
      <c r="J129" s="7">
        <v>106.64</v>
      </c>
      <c r="K129" s="7">
        <v>6.62</v>
      </c>
      <c r="L129" s="7">
        <v>52.96</v>
      </c>
      <c r="M129" s="7">
        <v>53.68</v>
      </c>
      <c r="N129" s="6">
        <v>125</v>
      </c>
      <c r="O129" s="6">
        <v>30</v>
      </c>
    </row>
    <row r="130" spans="1:15">
      <c r="A130" s="4" t="s">
        <v>220</v>
      </c>
      <c r="B130" s="5">
        <v>45337</v>
      </c>
      <c r="C130" s="4" t="s">
        <v>78</v>
      </c>
      <c r="D130" s="4" t="s">
        <v>79</v>
      </c>
      <c r="E130" s="4" t="s">
        <v>72</v>
      </c>
      <c r="F130" s="4" t="s">
        <v>62</v>
      </c>
      <c r="G130" s="4" t="s">
        <v>63</v>
      </c>
      <c r="H130" s="6">
        <v>13</v>
      </c>
      <c r="I130" s="7">
        <v>72.430000000000007</v>
      </c>
      <c r="J130" s="7">
        <v>941.59</v>
      </c>
      <c r="K130" s="7">
        <v>47.9</v>
      </c>
      <c r="L130" s="7">
        <v>622.70000000000005</v>
      </c>
      <c r="M130" s="7">
        <v>318.89</v>
      </c>
      <c r="N130" s="6">
        <v>94</v>
      </c>
      <c r="O130" s="6">
        <v>20</v>
      </c>
    </row>
    <row r="131" spans="1:15">
      <c r="A131" s="4" t="s">
        <v>221</v>
      </c>
      <c r="B131" s="5">
        <v>45303</v>
      </c>
      <c r="C131" s="4" t="s">
        <v>78</v>
      </c>
      <c r="D131" s="4" t="s">
        <v>79</v>
      </c>
      <c r="E131" s="4" t="s">
        <v>72</v>
      </c>
      <c r="F131" s="4" t="s">
        <v>62</v>
      </c>
      <c r="G131" s="4" t="s">
        <v>99</v>
      </c>
      <c r="H131" s="6">
        <v>9</v>
      </c>
      <c r="I131" s="7">
        <v>174.96</v>
      </c>
      <c r="J131" s="7">
        <v>1574.64</v>
      </c>
      <c r="K131" s="7">
        <v>76.599999999999994</v>
      </c>
      <c r="L131" s="7">
        <v>689.4</v>
      </c>
      <c r="M131" s="7">
        <v>885.24</v>
      </c>
      <c r="N131" s="6">
        <v>151</v>
      </c>
      <c r="O131" s="6">
        <v>20</v>
      </c>
    </row>
    <row r="132" spans="1:15">
      <c r="A132" s="4" t="s">
        <v>222</v>
      </c>
      <c r="B132" s="5">
        <v>45458</v>
      </c>
      <c r="C132" s="4" t="s">
        <v>90</v>
      </c>
      <c r="D132" s="4" t="s">
        <v>91</v>
      </c>
      <c r="E132" s="4" t="s">
        <v>72</v>
      </c>
      <c r="F132" s="4" t="s">
        <v>82</v>
      </c>
      <c r="G132" s="4" t="s">
        <v>63</v>
      </c>
      <c r="H132" s="6">
        <v>18</v>
      </c>
      <c r="I132" s="7">
        <v>50.3</v>
      </c>
      <c r="J132" s="7">
        <v>905.4</v>
      </c>
      <c r="K132" s="7">
        <v>36.47</v>
      </c>
      <c r="L132" s="7">
        <v>656.46</v>
      </c>
      <c r="M132" s="7">
        <v>248.94</v>
      </c>
      <c r="N132" s="6">
        <v>5</v>
      </c>
      <c r="O132" s="6">
        <v>30</v>
      </c>
    </row>
    <row r="133" spans="1:15">
      <c r="A133" s="4" t="s">
        <v>223</v>
      </c>
      <c r="B133" s="5">
        <v>45355</v>
      </c>
      <c r="C133" s="4" t="s">
        <v>59</v>
      </c>
      <c r="D133" s="4" t="s">
        <v>60</v>
      </c>
      <c r="E133" s="4" t="s">
        <v>61</v>
      </c>
      <c r="F133" s="4" t="s">
        <v>82</v>
      </c>
      <c r="G133" s="4" t="s">
        <v>68</v>
      </c>
      <c r="H133" s="6">
        <v>4</v>
      </c>
      <c r="I133" s="7">
        <v>49.26</v>
      </c>
      <c r="J133" s="7">
        <v>197.04</v>
      </c>
      <c r="K133" s="7">
        <v>31.51</v>
      </c>
      <c r="L133" s="7">
        <v>126.04</v>
      </c>
      <c r="M133" s="7">
        <v>71</v>
      </c>
      <c r="N133" s="6">
        <v>46</v>
      </c>
      <c r="O133" s="6">
        <v>20</v>
      </c>
    </row>
    <row r="134" spans="1:15">
      <c r="A134" s="4" t="s">
        <v>224</v>
      </c>
      <c r="B134" s="5">
        <v>45579</v>
      </c>
      <c r="C134" s="4" t="s">
        <v>70</v>
      </c>
      <c r="D134" s="4" t="s">
        <v>71</v>
      </c>
      <c r="E134" s="4" t="s">
        <v>72</v>
      </c>
      <c r="F134" s="4" t="s">
        <v>103</v>
      </c>
      <c r="G134" s="4" t="s">
        <v>99</v>
      </c>
      <c r="H134" s="6">
        <v>2</v>
      </c>
      <c r="I134" s="7">
        <v>25.73</v>
      </c>
      <c r="J134" s="7">
        <v>51.46</v>
      </c>
      <c r="K134" s="7">
        <v>71.95</v>
      </c>
      <c r="L134" s="7">
        <v>23.16</v>
      </c>
      <c r="M134" s="7">
        <v>28.3</v>
      </c>
      <c r="N134" s="6">
        <v>76</v>
      </c>
      <c r="O134" s="6">
        <v>30</v>
      </c>
    </row>
    <row r="135" spans="1:15">
      <c r="A135" s="4" t="s">
        <v>225</v>
      </c>
      <c r="B135" s="5">
        <v>45557</v>
      </c>
      <c r="C135" s="4" t="s">
        <v>70</v>
      </c>
      <c r="D135" s="4" t="s">
        <v>71</v>
      </c>
      <c r="E135" s="4" t="s">
        <v>72</v>
      </c>
      <c r="F135" s="4" t="s">
        <v>76</v>
      </c>
      <c r="G135" s="4" t="s">
        <v>92</v>
      </c>
      <c r="H135" s="6">
        <v>18</v>
      </c>
      <c r="I135" s="7">
        <v>114.01</v>
      </c>
      <c r="J135" s="7">
        <v>1182</v>
      </c>
      <c r="K135" s="7">
        <v>71.92</v>
      </c>
      <c r="L135" s="7">
        <v>1294.56</v>
      </c>
      <c r="M135" s="7">
        <v>757.62</v>
      </c>
      <c r="N135" s="6">
        <v>177</v>
      </c>
      <c r="O135" s="6">
        <v>30</v>
      </c>
    </row>
    <row r="136" spans="1:15">
      <c r="A136" s="4" t="s">
        <v>226</v>
      </c>
      <c r="B136" s="5">
        <v>45413</v>
      </c>
      <c r="C136" s="4" t="s">
        <v>65</v>
      </c>
      <c r="D136" s="4" t="s">
        <v>66</v>
      </c>
      <c r="E136" s="4" t="s">
        <v>67</v>
      </c>
      <c r="F136" s="4" t="s">
        <v>119</v>
      </c>
      <c r="G136" s="4" t="s">
        <v>92</v>
      </c>
      <c r="H136" s="6">
        <v>7</v>
      </c>
      <c r="I136" s="7">
        <v>39.71</v>
      </c>
      <c r="J136" s="7">
        <v>277.97000000000003</v>
      </c>
      <c r="K136" s="7">
        <v>71.95</v>
      </c>
      <c r="L136" s="7">
        <v>206.36</v>
      </c>
      <c r="M136" s="7">
        <v>71.61</v>
      </c>
      <c r="N136" s="6">
        <v>55</v>
      </c>
      <c r="O136" s="6">
        <v>20</v>
      </c>
    </row>
    <row r="137" spans="1:15">
      <c r="A137" s="4" t="s">
        <v>227</v>
      </c>
      <c r="B137" s="5">
        <v>45422</v>
      </c>
      <c r="C137" s="4" t="s">
        <v>70</v>
      </c>
      <c r="D137" s="4" t="s">
        <v>71</v>
      </c>
      <c r="E137" s="4" t="s">
        <v>72</v>
      </c>
      <c r="F137" s="4" t="s">
        <v>82</v>
      </c>
      <c r="G137" s="4" t="s">
        <v>88</v>
      </c>
      <c r="H137" s="6">
        <v>13</v>
      </c>
      <c r="I137" s="7">
        <v>164.19</v>
      </c>
      <c r="J137" s="7">
        <v>2134.4699999999998</v>
      </c>
      <c r="K137" s="7">
        <v>71.95</v>
      </c>
      <c r="L137" s="7">
        <v>993.2</v>
      </c>
      <c r="M137" s="7">
        <v>1141.27</v>
      </c>
      <c r="N137" s="6">
        <v>116</v>
      </c>
      <c r="O137" s="6">
        <v>20</v>
      </c>
    </row>
    <row r="138" spans="1:15">
      <c r="A138" s="4" t="s">
        <v>228</v>
      </c>
      <c r="B138" s="5">
        <v>45429</v>
      </c>
      <c r="C138" s="4" t="s">
        <v>59</v>
      </c>
      <c r="D138" s="4" t="s">
        <v>60</v>
      </c>
      <c r="E138" s="4" t="s">
        <v>61</v>
      </c>
      <c r="F138" s="4" t="s">
        <v>103</v>
      </c>
      <c r="G138" s="4" t="s">
        <v>99</v>
      </c>
      <c r="H138" s="6">
        <v>12</v>
      </c>
      <c r="I138" s="7">
        <v>143.09</v>
      </c>
      <c r="J138" s="7">
        <v>1717.08</v>
      </c>
      <c r="K138" s="7">
        <v>94.31</v>
      </c>
      <c r="L138" s="7">
        <v>1131.72</v>
      </c>
      <c r="M138" s="7">
        <v>585.36</v>
      </c>
      <c r="N138" s="6">
        <v>130</v>
      </c>
      <c r="O138" s="6">
        <v>50</v>
      </c>
    </row>
    <row r="139" spans="1:15">
      <c r="A139" s="4" t="s">
        <v>229</v>
      </c>
      <c r="B139" s="5">
        <v>45601</v>
      </c>
      <c r="C139" s="4" t="s">
        <v>59</v>
      </c>
      <c r="D139" s="4" t="s">
        <v>60</v>
      </c>
      <c r="E139" s="4" t="s">
        <v>61</v>
      </c>
      <c r="F139" s="4" t="s">
        <v>62</v>
      </c>
      <c r="G139" s="4" t="s">
        <v>88</v>
      </c>
      <c r="H139" s="6">
        <v>3</v>
      </c>
      <c r="I139" s="7">
        <v>71.180000000000007</v>
      </c>
      <c r="J139" s="7">
        <v>213.54</v>
      </c>
      <c r="K139" s="7">
        <v>43.6</v>
      </c>
      <c r="L139" s="7">
        <v>130.80000000000001</v>
      </c>
      <c r="M139" s="7">
        <v>82.74</v>
      </c>
      <c r="N139" s="6">
        <v>175</v>
      </c>
      <c r="O139" s="6">
        <v>50</v>
      </c>
    </row>
    <row r="140" spans="1:15">
      <c r="A140" s="4" t="s">
        <v>230</v>
      </c>
      <c r="B140" s="5">
        <v>45366</v>
      </c>
      <c r="C140" s="4" t="s">
        <v>59</v>
      </c>
      <c r="D140" s="4" t="s">
        <v>60</v>
      </c>
      <c r="E140" s="4" t="s">
        <v>61</v>
      </c>
      <c r="F140" s="4" t="s">
        <v>106</v>
      </c>
      <c r="G140" s="4" t="s">
        <v>63</v>
      </c>
      <c r="H140" s="6">
        <v>9</v>
      </c>
      <c r="I140" s="7">
        <v>7.42</v>
      </c>
      <c r="J140" s="7">
        <v>66.78</v>
      </c>
      <c r="K140" s="7">
        <v>4.09</v>
      </c>
      <c r="L140" s="7">
        <v>36.81</v>
      </c>
      <c r="M140" s="7">
        <v>29.97</v>
      </c>
      <c r="N140" s="6">
        <v>56</v>
      </c>
      <c r="O140" s="6">
        <v>30</v>
      </c>
    </row>
    <row r="141" spans="1:15">
      <c r="A141" s="4" t="s">
        <v>231</v>
      </c>
      <c r="B141" s="5">
        <v>45542</v>
      </c>
      <c r="C141" s="4" t="s">
        <v>90</v>
      </c>
      <c r="D141" s="4" t="s">
        <v>91</v>
      </c>
      <c r="E141" s="4" t="s">
        <v>72</v>
      </c>
      <c r="F141" s="4" t="s">
        <v>62</v>
      </c>
      <c r="G141" s="4" t="s">
        <v>88</v>
      </c>
      <c r="H141" s="6">
        <v>17</v>
      </c>
      <c r="I141" s="7">
        <v>90.48</v>
      </c>
      <c r="J141" s="7">
        <v>1538.16</v>
      </c>
      <c r="K141" s="7">
        <v>56.9</v>
      </c>
      <c r="L141" s="7">
        <v>967.3</v>
      </c>
      <c r="M141" s="7">
        <v>570.86</v>
      </c>
      <c r="N141" s="6">
        <v>72</v>
      </c>
      <c r="O141" s="6">
        <v>50</v>
      </c>
    </row>
    <row r="142" spans="1:15">
      <c r="A142" s="4" t="s">
        <v>232</v>
      </c>
      <c r="B142" s="5">
        <v>45384</v>
      </c>
      <c r="C142" s="4" t="s">
        <v>84</v>
      </c>
      <c r="D142" s="4" t="s">
        <v>85</v>
      </c>
      <c r="E142" s="4" t="s">
        <v>86</v>
      </c>
      <c r="F142" s="4" t="s">
        <v>62</v>
      </c>
      <c r="G142" s="4" t="s">
        <v>68</v>
      </c>
      <c r="H142" s="6">
        <v>18</v>
      </c>
      <c r="I142" s="7">
        <v>140.16</v>
      </c>
      <c r="J142" s="7">
        <v>2522.88</v>
      </c>
      <c r="K142" s="7">
        <v>105.51</v>
      </c>
      <c r="L142" s="7">
        <v>1899.18</v>
      </c>
      <c r="M142" s="7">
        <v>623.70000000000005</v>
      </c>
      <c r="N142" s="6">
        <v>103</v>
      </c>
      <c r="O142" s="6">
        <v>30</v>
      </c>
    </row>
    <row r="143" spans="1:15">
      <c r="A143" s="4" t="s">
        <v>233</v>
      </c>
      <c r="B143" s="5">
        <v>45485</v>
      </c>
      <c r="C143" s="4" t="s">
        <v>70</v>
      </c>
      <c r="D143" s="4" t="s">
        <v>71</v>
      </c>
      <c r="E143" s="4" t="s">
        <v>72</v>
      </c>
      <c r="F143" s="4" t="s">
        <v>119</v>
      </c>
      <c r="G143" s="4" t="s">
        <v>88</v>
      </c>
      <c r="H143" s="6">
        <v>2</v>
      </c>
      <c r="I143" s="7">
        <v>230.02</v>
      </c>
      <c r="J143" s="7">
        <v>460.04</v>
      </c>
      <c r="K143" s="7">
        <v>150.82</v>
      </c>
      <c r="L143" s="7">
        <v>301.64</v>
      </c>
      <c r="M143" s="7">
        <v>158.4</v>
      </c>
      <c r="N143" s="6">
        <v>94</v>
      </c>
      <c r="O143" s="6">
        <v>50</v>
      </c>
    </row>
    <row r="144" spans="1:15">
      <c r="A144" s="4" t="s">
        <v>234</v>
      </c>
      <c r="B144" s="5">
        <v>45531</v>
      </c>
      <c r="C144" s="4" t="s">
        <v>70</v>
      </c>
      <c r="D144" s="4" t="s">
        <v>71</v>
      </c>
      <c r="E144" s="4" t="s">
        <v>72</v>
      </c>
      <c r="F144" s="4" t="s">
        <v>82</v>
      </c>
      <c r="G144" s="4" t="s">
        <v>88</v>
      </c>
      <c r="H144" s="6">
        <v>9</v>
      </c>
      <c r="I144" s="7">
        <v>238.39</v>
      </c>
      <c r="J144" s="7">
        <v>2145.5100000000002</v>
      </c>
      <c r="K144" s="7">
        <v>145</v>
      </c>
      <c r="L144" s="7">
        <v>1305</v>
      </c>
      <c r="M144" s="7">
        <v>840.51</v>
      </c>
      <c r="N144" s="6">
        <v>183</v>
      </c>
      <c r="O144" s="6">
        <v>20</v>
      </c>
    </row>
    <row r="145" spans="1:15">
      <c r="A145" s="4" t="s">
        <v>235</v>
      </c>
      <c r="B145" s="5">
        <v>45338</v>
      </c>
      <c r="C145" s="4" t="s">
        <v>90</v>
      </c>
      <c r="D145" s="4" t="s">
        <v>91</v>
      </c>
      <c r="E145" s="4" t="s">
        <v>72</v>
      </c>
      <c r="F145" s="4" t="s">
        <v>62</v>
      </c>
      <c r="G145" s="4" t="s">
        <v>63</v>
      </c>
      <c r="H145" s="6">
        <v>3</v>
      </c>
      <c r="I145" s="7">
        <v>183.84</v>
      </c>
      <c r="J145" s="7">
        <v>551.52</v>
      </c>
      <c r="K145" s="7">
        <v>143.02000000000001</v>
      </c>
      <c r="L145" s="7">
        <v>429.06</v>
      </c>
      <c r="M145" s="7">
        <v>122.46</v>
      </c>
      <c r="N145" s="6">
        <v>42</v>
      </c>
      <c r="O145" s="6">
        <v>50</v>
      </c>
    </row>
    <row r="146" spans="1:15">
      <c r="A146" s="4" t="s">
        <v>236</v>
      </c>
      <c r="B146" s="5">
        <v>45509</v>
      </c>
      <c r="C146" s="4" t="s">
        <v>111</v>
      </c>
      <c r="D146" s="4" t="s">
        <v>112</v>
      </c>
      <c r="E146" s="4" t="s">
        <v>67</v>
      </c>
      <c r="F146" s="4" t="s">
        <v>62</v>
      </c>
      <c r="G146" s="4" t="s">
        <v>99</v>
      </c>
      <c r="H146" s="6">
        <v>16</v>
      </c>
      <c r="I146" s="7">
        <v>126.96</v>
      </c>
      <c r="J146" s="7">
        <v>2031.36</v>
      </c>
      <c r="K146" s="7">
        <v>71.95</v>
      </c>
      <c r="L146" s="7">
        <v>1369.28</v>
      </c>
      <c r="M146" s="7">
        <v>662.08</v>
      </c>
      <c r="N146" s="6">
        <v>173</v>
      </c>
      <c r="O146" s="6">
        <v>50</v>
      </c>
    </row>
    <row r="147" spans="1:15">
      <c r="A147" s="4" t="s">
        <v>237</v>
      </c>
      <c r="B147" s="5">
        <v>45509</v>
      </c>
      <c r="C147" s="4" t="s">
        <v>84</v>
      </c>
      <c r="D147" s="4" t="s">
        <v>85</v>
      </c>
      <c r="E147" s="4" t="s">
        <v>86</v>
      </c>
      <c r="F147" s="4" t="s">
        <v>62</v>
      </c>
      <c r="G147" s="4" t="s">
        <v>92</v>
      </c>
      <c r="H147" s="6">
        <v>8</v>
      </c>
      <c r="I147" s="7">
        <v>248.58</v>
      </c>
      <c r="J147" s="7">
        <v>1988.64</v>
      </c>
      <c r="K147" s="7">
        <v>165.17</v>
      </c>
      <c r="L147" s="7">
        <v>1321.36</v>
      </c>
      <c r="M147" s="7">
        <v>667.28</v>
      </c>
      <c r="N147" s="6">
        <v>135</v>
      </c>
      <c r="O147" s="6">
        <v>50</v>
      </c>
    </row>
    <row r="148" spans="1:15">
      <c r="A148" s="4" t="s">
        <v>238</v>
      </c>
      <c r="B148" s="5">
        <v>45407</v>
      </c>
      <c r="C148" s="4" t="s">
        <v>111</v>
      </c>
      <c r="D148" s="4" t="s">
        <v>112</v>
      </c>
      <c r="E148" s="4" t="s">
        <v>67</v>
      </c>
      <c r="F148" s="4" t="s">
        <v>62</v>
      </c>
      <c r="G148" s="4" t="s">
        <v>99</v>
      </c>
      <c r="H148" s="6">
        <v>3</v>
      </c>
      <c r="I148" s="7">
        <v>94.93</v>
      </c>
      <c r="J148" s="7">
        <v>284.79000000000002</v>
      </c>
      <c r="K148" s="7">
        <v>43.03</v>
      </c>
      <c r="L148" s="7">
        <v>129.09</v>
      </c>
      <c r="M148" s="7">
        <v>155.69999999999999</v>
      </c>
      <c r="N148" s="6">
        <v>90</v>
      </c>
      <c r="O148" s="6">
        <v>20</v>
      </c>
    </row>
    <row r="149" spans="1:15">
      <c r="A149" s="4" t="s">
        <v>239</v>
      </c>
      <c r="B149" s="5">
        <v>45419</v>
      </c>
      <c r="C149" s="4" t="s">
        <v>90</v>
      </c>
      <c r="D149" s="4" t="s">
        <v>91</v>
      </c>
      <c r="E149" s="4" t="s">
        <v>72</v>
      </c>
      <c r="F149" s="4" t="s">
        <v>62</v>
      </c>
      <c r="G149" s="4" t="s">
        <v>74</v>
      </c>
      <c r="H149" s="6">
        <v>10</v>
      </c>
      <c r="I149" s="7">
        <v>78.3</v>
      </c>
      <c r="J149" s="7">
        <v>783</v>
      </c>
      <c r="K149" s="7">
        <v>40.51</v>
      </c>
      <c r="L149" s="7">
        <v>405.1</v>
      </c>
      <c r="M149" s="7">
        <v>377.9</v>
      </c>
      <c r="N149" s="6">
        <v>54</v>
      </c>
      <c r="O149" s="6">
        <v>20</v>
      </c>
    </row>
    <row r="150" spans="1:15">
      <c r="A150" s="4" t="s">
        <v>240</v>
      </c>
      <c r="B150" s="5">
        <v>45310</v>
      </c>
      <c r="C150" s="4" t="s">
        <v>78</v>
      </c>
      <c r="D150" s="4" t="s">
        <v>79</v>
      </c>
      <c r="E150" s="4" t="s">
        <v>72</v>
      </c>
      <c r="F150" s="4" t="s">
        <v>82</v>
      </c>
      <c r="G150" s="4" t="s">
        <v>88</v>
      </c>
      <c r="H150" s="6">
        <v>20</v>
      </c>
      <c r="I150" s="7">
        <v>212.85</v>
      </c>
      <c r="J150" s="7">
        <v>4257</v>
      </c>
      <c r="K150" s="7">
        <v>90.04</v>
      </c>
      <c r="L150" s="7">
        <v>1800.8</v>
      </c>
      <c r="M150" s="7">
        <v>2456.1999999999998</v>
      </c>
      <c r="N150" s="6">
        <v>1</v>
      </c>
      <c r="O150" s="6">
        <v>50</v>
      </c>
    </row>
    <row r="151" spans="1:15">
      <c r="A151" s="4" t="s">
        <v>241</v>
      </c>
      <c r="B151" s="5">
        <v>45497</v>
      </c>
      <c r="C151" s="4" t="s">
        <v>84</v>
      </c>
      <c r="D151" s="4" t="s">
        <v>85</v>
      </c>
      <c r="E151" s="4" t="s">
        <v>86</v>
      </c>
      <c r="F151" s="4" t="s">
        <v>103</v>
      </c>
      <c r="G151" s="4" t="s">
        <v>99</v>
      </c>
      <c r="H151" s="6">
        <v>1</v>
      </c>
      <c r="I151" s="7">
        <v>29.83</v>
      </c>
      <c r="J151" s="7">
        <v>29.83</v>
      </c>
      <c r="K151" s="7">
        <v>17.8</v>
      </c>
      <c r="L151" s="7">
        <v>17.8</v>
      </c>
      <c r="M151" s="7">
        <v>12.03</v>
      </c>
      <c r="N151" s="6">
        <v>21</v>
      </c>
      <c r="O151" s="6">
        <v>50</v>
      </c>
    </row>
    <row r="152" spans="1:15">
      <c r="A152" s="4" t="s">
        <v>242</v>
      </c>
      <c r="B152" s="5">
        <v>45407</v>
      </c>
      <c r="C152" s="4" t="s">
        <v>78</v>
      </c>
      <c r="D152" s="4" t="s">
        <v>79</v>
      </c>
      <c r="E152" s="4" t="s">
        <v>72</v>
      </c>
      <c r="F152" s="4" t="s">
        <v>82</v>
      </c>
      <c r="G152" s="4" t="s">
        <v>63</v>
      </c>
      <c r="H152" s="6">
        <v>13</v>
      </c>
      <c r="I152" s="7">
        <v>96.71</v>
      </c>
      <c r="J152" s="7">
        <v>1257.23</v>
      </c>
      <c r="K152" s="7">
        <v>52.78</v>
      </c>
      <c r="L152" s="7">
        <v>686.14</v>
      </c>
      <c r="M152" s="7">
        <v>571.09</v>
      </c>
      <c r="N152" s="6">
        <v>46</v>
      </c>
      <c r="O152" s="6">
        <v>50</v>
      </c>
    </row>
    <row r="153" spans="1:15">
      <c r="A153" s="4" t="s">
        <v>243</v>
      </c>
      <c r="B153" s="5">
        <v>45514</v>
      </c>
      <c r="C153" s="4" t="s">
        <v>65</v>
      </c>
      <c r="D153" s="4" t="s">
        <v>66</v>
      </c>
      <c r="E153" s="4" t="s">
        <v>67</v>
      </c>
      <c r="F153" s="4" t="s">
        <v>82</v>
      </c>
      <c r="G153" s="4" t="s">
        <v>63</v>
      </c>
      <c r="H153" s="6">
        <v>12</v>
      </c>
      <c r="I153" s="7">
        <v>221.48</v>
      </c>
      <c r="J153" s="7">
        <v>2657.76</v>
      </c>
      <c r="K153" s="7">
        <v>71.95</v>
      </c>
      <c r="L153" s="7">
        <v>1817.04</v>
      </c>
      <c r="M153" s="7">
        <v>840.72</v>
      </c>
      <c r="N153" s="6">
        <v>28</v>
      </c>
      <c r="O153" s="6">
        <v>20</v>
      </c>
    </row>
    <row r="154" spans="1:15">
      <c r="A154" s="4" t="s">
        <v>244</v>
      </c>
      <c r="B154" s="5">
        <v>45393</v>
      </c>
      <c r="C154" s="4" t="s">
        <v>78</v>
      </c>
      <c r="D154" s="4" t="s">
        <v>79</v>
      </c>
      <c r="E154" s="4" t="s">
        <v>72</v>
      </c>
      <c r="F154" s="4" t="s">
        <v>103</v>
      </c>
      <c r="G154" s="4" t="s">
        <v>68</v>
      </c>
      <c r="H154" s="6">
        <v>9</v>
      </c>
      <c r="I154" s="7">
        <v>34.1</v>
      </c>
      <c r="J154" s="7">
        <v>306.89999999999998</v>
      </c>
      <c r="K154" s="7">
        <v>20.309999999999999</v>
      </c>
      <c r="L154" s="7">
        <v>182.79</v>
      </c>
      <c r="M154" s="7">
        <v>124.11</v>
      </c>
      <c r="N154" s="6">
        <v>126</v>
      </c>
      <c r="O154" s="6">
        <v>50</v>
      </c>
    </row>
    <row r="155" spans="1:15">
      <c r="A155" s="4" t="s">
        <v>245</v>
      </c>
      <c r="B155" s="5">
        <v>45491</v>
      </c>
      <c r="C155" s="4" t="s">
        <v>111</v>
      </c>
      <c r="D155" s="4" t="s">
        <v>112</v>
      </c>
      <c r="E155" s="4" t="s">
        <v>67</v>
      </c>
      <c r="F155" s="4" t="s">
        <v>62</v>
      </c>
      <c r="G155" s="4" t="s">
        <v>92</v>
      </c>
      <c r="H155" s="6">
        <v>4</v>
      </c>
      <c r="I155" s="7">
        <v>239.63</v>
      </c>
      <c r="J155" s="7">
        <v>1182</v>
      </c>
      <c r="K155" s="7">
        <v>171.84</v>
      </c>
      <c r="L155" s="7">
        <v>687.36</v>
      </c>
      <c r="M155" s="7">
        <v>271.16000000000003</v>
      </c>
      <c r="N155" s="6">
        <v>32</v>
      </c>
      <c r="O155" s="6">
        <v>20</v>
      </c>
    </row>
    <row r="156" spans="1:15">
      <c r="A156" s="4" t="s">
        <v>246</v>
      </c>
      <c r="B156" s="5">
        <v>45511</v>
      </c>
      <c r="C156" s="4" t="s">
        <v>65</v>
      </c>
      <c r="D156" s="4" t="s">
        <v>66</v>
      </c>
      <c r="E156" s="4" t="s">
        <v>67</v>
      </c>
      <c r="F156" s="4" t="s">
        <v>119</v>
      </c>
      <c r="G156" s="4" t="s">
        <v>92</v>
      </c>
      <c r="H156" s="6">
        <v>14</v>
      </c>
      <c r="I156" s="7">
        <v>122.65</v>
      </c>
      <c r="J156" s="7">
        <v>1717.1</v>
      </c>
      <c r="K156" s="7">
        <v>62.91</v>
      </c>
      <c r="L156" s="7">
        <v>880.74</v>
      </c>
      <c r="M156" s="7">
        <v>836.36</v>
      </c>
      <c r="N156" s="6">
        <v>21</v>
      </c>
      <c r="O156" s="6">
        <v>30</v>
      </c>
    </row>
    <row r="157" spans="1:15">
      <c r="A157" s="4" t="s">
        <v>247</v>
      </c>
      <c r="B157" s="5">
        <v>45426</v>
      </c>
      <c r="C157" s="4" t="s">
        <v>59</v>
      </c>
      <c r="D157" s="4" t="s">
        <v>60</v>
      </c>
      <c r="E157" s="4" t="s">
        <v>61</v>
      </c>
      <c r="F157" s="4" t="s">
        <v>103</v>
      </c>
      <c r="G157" s="4" t="s">
        <v>74</v>
      </c>
      <c r="H157" s="6">
        <v>14</v>
      </c>
      <c r="I157" s="7">
        <v>53.61</v>
      </c>
      <c r="J157" s="7">
        <v>750.54</v>
      </c>
      <c r="K157" s="7">
        <v>36.590000000000003</v>
      </c>
      <c r="L157" s="7">
        <v>512.26</v>
      </c>
      <c r="M157" s="7">
        <v>238.28</v>
      </c>
      <c r="N157" s="6">
        <v>26</v>
      </c>
      <c r="O157" s="6">
        <v>50</v>
      </c>
    </row>
    <row r="158" spans="1:15">
      <c r="A158" s="4" t="s">
        <v>248</v>
      </c>
      <c r="B158" s="5">
        <v>45359</v>
      </c>
      <c r="C158" s="4" t="s">
        <v>96</v>
      </c>
      <c r="D158" s="4" t="s">
        <v>97</v>
      </c>
      <c r="E158" s="4" t="s">
        <v>67</v>
      </c>
      <c r="F158" s="4" t="s">
        <v>62</v>
      </c>
      <c r="G158" s="4" t="s">
        <v>92</v>
      </c>
      <c r="H158" s="6">
        <v>2</v>
      </c>
      <c r="I158" s="7">
        <v>72.099999999999994</v>
      </c>
      <c r="J158" s="7">
        <v>144.19999999999999</v>
      </c>
      <c r="K158" s="7">
        <v>34.380000000000003</v>
      </c>
      <c r="L158" s="7">
        <v>68.760000000000005</v>
      </c>
      <c r="M158" s="7">
        <v>75.44</v>
      </c>
      <c r="N158" s="6">
        <v>37</v>
      </c>
      <c r="O158" s="6">
        <v>30</v>
      </c>
    </row>
    <row r="159" spans="1:15">
      <c r="A159" s="4" t="s">
        <v>249</v>
      </c>
      <c r="B159" s="5">
        <v>45616</v>
      </c>
      <c r="C159" s="4" t="s">
        <v>59</v>
      </c>
      <c r="D159" s="4" t="s">
        <v>60</v>
      </c>
      <c r="E159" s="4" t="s">
        <v>61</v>
      </c>
      <c r="F159" s="4" t="s">
        <v>62</v>
      </c>
      <c r="G159" s="4" t="s">
        <v>68</v>
      </c>
      <c r="H159" s="6">
        <v>8</v>
      </c>
      <c r="I159" s="7">
        <v>87.36</v>
      </c>
      <c r="J159" s="7">
        <v>698.88</v>
      </c>
      <c r="K159" s="7">
        <v>51.69</v>
      </c>
      <c r="L159" s="7">
        <v>413.52</v>
      </c>
      <c r="M159" s="7">
        <v>285.36</v>
      </c>
      <c r="N159" s="6">
        <v>130</v>
      </c>
      <c r="O159" s="6">
        <v>30</v>
      </c>
    </row>
    <row r="160" spans="1:15">
      <c r="A160" s="4" t="s">
        <v>250</v>
      </c>
      <c r="B160" s="5">
        <v>45418</v>
      </c>
      <c r="C160" s="4" t="s">
        <v>84</v>
      </c>
      <c r="D160" s="4" t="s">
        <v>85</v>
      </c>
      <c r="E160" s="4" t="s">
        <v>86</v>
      </c>
      <c r="F160" s="4" t="s">
        <v>76</v>
      </c>
      <c r="G160" s="4" t="s">
        <v>74</v>
      </c>
      <c r="H160" s="6">
        <v>2</v>
      </c>
      <c r="I160" s="7">
        <v>49.53</v>
      </c>
      <c r="J160" s="7">
        <v>99.06</v>
      </c>
      <c r="K160" s="7">
        <v>19.82</v>
      </c>
      <c r="L160" s="7">
        <v>39.64</v>
      </c>
      <c r="M160" s="7">
        <v>59.42</v>
      </c>
      <c r="N160" s="6">
        <v>169</v>
      </c>
      <c r="O160" s="6">
        <v>50</v>
      </c>
    </row>
    <row r="161" spans="1:15">
      <c r="A161" s="4" t="s">
        <v>251</v>
      </c>
      <c r="B161" s="5">
        <v>45421</v>
      </c>
      <c r="C161" s="4" t="s">
        <v>78</v>
      </c>
      <c r="D161" s="4" t="s">
        <v>79</v>
      </c>
      <c r="E161" s="4" t="s">
        <v>72</v>
      </c>
      <c r="F161" s="4" t="s">
        <v>103</v>
      </c>
      <c r="G161" s="4" t="s">
        <v>68</v>
      </c>
      <c r="H161" s="6">
        <v>12</v>
      </c>
      <c r="I161" s="7">
        <v>86.9</v>
      </c>
      <c r="J161" s="7">
        <v>1042.8</v>
      </c>
      <c r="K161" s="7">
        <v>38.64</v>
      </c>
      <c r="L161" s="7">
        <v>463.68</v>
      </c>
      <c r="M161" s="7">
        <v>579.12</v>
      </c>
      <c r="N161" s="6">
        <v>171</v>
      </c>
      <c r="O161" s="6">
        <v>20</v>
      </c>
    </row>
    <row r="162" spans="1:15">
      <c r="A162" s="4" t="s">
        <v>252</v>
      </c>
      <c r="B162" s="5">
        <v>45601</v>
      </c>
      <c r="C162" s="4" t="s">
        <v>84</v>
      </c>
      <c r="D162" s="4" t="s">
        <v>85</v>
      </c>
      <c r="E162" s="4" t="s">
        <v>86</v>
      </c>
      <c r="F162" s="4" t="s">
        <v>106</v>
      </c>
      <c r="G162" s="4" t="s">
        <v>74</v>
      </c>
      <c r="H162" s="6">
        <v>8</v>
      </c>
      <c r="I162" s="7">
        <v>164.31</v>
      </c>
      <c r="J162" s="7">
        <v>1182</v>
      </c>
      <c r="K162" s="7">
        <v>79.53</v>
      </c>
      <c r="L162" s="7">
        <v>636.24</v>
      </c>
      <c r="M162" s="7">
        <v>678.24</v>
      </c>
      <c r="N162" s="6">
        <v>98</v>
      </c>
      <c r="O162" s="6">
        <v>20</v>
      </c>
    </row>
    <row r="163" spans="1:15">
      <c r="A163" s="4" t="s">
        <v>253</v>
      </c>
      <c r="B163" s="5">
        <v>45389</v>
      </c>
      <c r="C163" s="4" t="s">
        <v>59</v>
      </c>
      <c r="D163" s="4" t="s">
        <v>60</v>
      </c>
      <c r="E163" s="4" t="s">
        <v>61</v>
      </c>
      <c r="F163" s="4" t="s">
        <v>76</v>
      </c>
      <c r="G163" s="4" t="s">
        <v>68</v>
      </c>
      <c r="H163" s="6">
        <v>15</v>
      </c>
      <c r="I163" s="7">
        <v>231.75</v>
      </c>
      <c r="J163" s="7">
        <v>3476.25</v>
      </c>
      <c r="K163" s="7">
        <v>99.64</v>
      </c>
      <c r="L163" s="7">
        <v>1494.6</v>
      </c>
      <c r="M163" s="7">
        <v>1981.65</v>
      </c>
      <c r="N163" s="6">
        <v>139</v>
      </c>
      <c r="O163" s="6">
        <v>50</v>
      </c>
    </row>
    <row r="164" spans="1:15">
      <c r="A164" s="4" t="s">
        <v>254</v>
      </c>
      <c r="B164" s="5">
        <v>45314</v>
      </c>
      <c r="C164" s="4" t="s">
        <v>111</v>
      </c>
      <c r="D164" s="4" t="s">
        <v>112</v>
      </c>
      <c r="E164" s="4" t="s">
        <v>67</v>
      </c>
      <c r="F164" s="4" t="s">
        <v>76</v>
      </c>
      <c r="G164" s="4" t="s">
        <v>68</v>
      </c>
      <c r="H164" s="6">
        <v>7</v>
      </c>
      <c r="I164" s="7">
        <v>107.46</v>
      </c>
      <c r="J164" s="7">
        <v>752.22</v>
      </c>
      <c r="K164" s="7">
        <v>71.95</v>
      </c>
      <c r="L164" s="7">
        <v>514.99</v>
      </c>
      <c r="M164" s="7">
        <v>237.23</v>
      </c>
      <c r="N164" s="6">
        <v>194</v>
      </c>
      <c r="O164" s="6">
        <v>50</v>
      </c>
    </row>
    <row r="165" spans="1:15">
      <c r="A165" s="4" t="s">
        <v>255</v>
      </c>
      <c r="B165" s="5">
        <v>45506</v>
      </c>
      <c r="C165" s="4" t="s">
        <v>65</v>
      </c>
      <c r="D165" s="4" t="s">
        <v>66</v>
      </c>
      <c r="E165" s="4" t="s">
        <v>67</v>
      </c>
      <c r="F165" s="4" t="s">
        <v>62</v>
      </c>
      <c r="G165" s="4" t="s">
        <v>92</v>
      </c>
      <c r="H165" s="6">
        <v>6</v>
      </c>
      <c r="I165" s="7">
        <v>151.79</v>
      </c>
      <c r="J165" s="7">
        <v>910.74</v>
      </c>
      <c r="K165" s="7">
        <v>103.02</v>
      </c>
      <c r="L165" s="7">
        <v>618.12</v>
      </c>
      <c r="M165" s="7">
        <v>292.62</v>
      </c>
      <c r="N165" s="6">
        <v>33</v>
      </c>
      <c r="O165" s="6">
        <v>30</v>
      </c>
    </row>
    <row r="166" spans="1:15">
      <c r="A166" s="4" t="s">
        <v>256</v>
      </c>
      <c r="B166" s="5">
        <v>45545</v>
      </c>
      <c r="C166" s="4" t="s">
        <v>90</v>
      </c>
      <c r="D166" s="4" t="s">
        <v>91</v>
      </c>
      <c r="E166" s="4" t="s">
        <v>72</v>
      </c>
      <c r="F166" s="4" t="s">
        <v>62</v>
      </c>
      <c r="G166" s="4" t="s">
        <v>92</v>
      </c>
      <c r="H166" s="6">
        <v>6</v>
      </c>
      <c r="I166" s="7">
        <v>112.25</v>
      </c>
      <c r="J166" s="7">
        <v>673.5</v>
      </c>
      <c r="K166" s="7">
        <v>67.77</v>
      </c>
      <c r="L166" s="7">
        <v>406.62</v>
      </c>
      <c r="M166" s="7">
        <v>266.88</v>
      </c>
      <c r="N166" s="6">
        <v>143</v>
      </c>
      <c r="O166" s="6">
        <v>30</v>
      </c>
    </row>
    <row r="167" spans="1:15">
      <c r="A167" s="4" t="s">
        <v>257</v>
      </c>
      <c r="B167" s="5">
        <v>45296</v>
      </c>
      <c r="C167" s="4" t="s">
        <v>78</v>
      </c>
      <c r="D167" s="4" t="s">
        <v>79</v>
      </c>
      <c r="E167" s="4" t="s">
        <v>72</v>
      </c>
      <c r="F167" s="4" t="s">
        <v>82</v>
      </c>
      <c r="G167" s="4" t="s">
        <v>88</v>
      </c>
      <c r="H167" s="6">
        <v>17</v>
      </c>
      <c r="I167" s="7">
        <v>178.4</v>
      </c>
      <c r="J167" s="7">
        <v>3032.8</v>
      </c>
      <c r="K167" s="7">
        <v>108.83</v>
      </c>
      <c r="L167" s="7">
        <v>1850.11</v>
      </c>
      <c r="M167" s="7">
        <v>1182.69</v>
      </c>
      <c r="N167" s="6">
        <v>77</v>
      </c>
      <c r="O167" s="6">
        <v>20</v>
      </c>
    </row>
    <row r="168" spans="1:15">
      <c r="A168" s="4" t="s">
        <v>258</v>
      </c>
      <c r="B168" s="5">
        <v>45441</v>
      </c>
      <c r="C168" s="4" t="s">
        <v>65</v>
      </c>
      <c r="D168" s="4" t="s">
        <v>66</v>
      </c>
      <c r="E168" s="4" t="s">
        <v>67</v>
      </c>
      <c r="F168" s="4" t="s">
        <v>62</v>
      </c>
      <c r="G168" s="4" t="s">
        <v>88</v>
      </c>
      <c r="H168" s="6">
        <v>5</v>
      </c>
      <c r="I168" s="7">
        <v>235.8</v>
      </c>
      <c r="J168" s="7">
        <v>1179</v>
      </c>
      <c r="K168" s="7">
        <v>120.52</v>
      </c>
      <c r="L168" s="7">
        <v>602.6</v>
      </c>
      <c r="M168" s="7">
        <v>576.4</v>
      </c>
      <c r="N168" s="6">
        <v>34</v>
      </c>
      <c r="O168" s="6">
        <v>30</v>
      </c>
    </row>
    <row r="169" spans="1:15">
      <c r="A169" s="4" t="s">
        <v>259</v>
      </c>
      <c r="B169" s="5">
        <v>45469</v>
      </c>
      <c r="C169" s="4" t="s">
        <v>84</v>
      </c>
      <c r="D169" s="4" t="s">
        <v>85</v>
      </c>
      <c r="E169" s="4" t="s">
        <v>86</v>
      </c>
      <c r="F169" s="4" t="s">
        <v>103</v>
      </c>
      <c r="G169" s="4" t="s">
        <v>99</v>
      </c>
      <c r="H169" s="6">
        <v>11</v>
      </c>
      <c r="I169" s="7">
        <v>25.4</v>
      </c>
      <c r="J169" s="7">
        <v>279.39999999999998</v>
      </c>
      <c r="K169" s="7">
        <v>17.329999999999998</v>
      </c>
      <c r="L169" s="7">
        <v>190.63</v>
      </c>
      <c r="M169" s="7">
        <v>88.77</v>
      </c>
      <c r="N169" s="6">
        <v>140</v>
      </c>
      <c r="O169" s="6">
        <v>30</v>
      </c>
    </row>
    <row r="170" spans="1:15">
      <c r="A170" s="4" t="s">
        <v>260</v>
      </c>
      <c r="B170" s="5">
        <v>45297</v>
      </c>
      <c r="C170" s="4" t="s">
        <v>84</v>
      </c>
      <c r="D170" s="4" t="s">
        <v>85</v>
      </c>
      <c r="E170" s="4" t="s">
        <v>86</v>
      </c>
      <c r="F170" s="4" t="s">
        <v>106</v>
      </c>
      <c r="G170" s="4" t="s">
        <v>88</v>
      </c>
      <c r="H170" s="6">
        <v>8</v>
      </c>
      <c r="I170" s="7">
        <v>183.97</v>
      </c>
      <c r="J170" s="7">
        <v>1471.76</v>
      </c>
      <c r="K170" s="7">
        <v>94.17</v>
      </c>
      <c r="L170" s="7">
        <v>753.36</v>
      </c>
      <c r="M170" s="7">
        <v>718.4</v>
      </c>
      <c r="N170" s="6">
        <v>65</v>
      </c>
      <c r="O170" s="6">
        <v>20</v>
      </c>
    </row>
    <row r="171" spans="1:15">
      <c r="A171" s="4" t="s">
        <v>261</v>
      </c>
      <c r="B171" s="5">
        <v>45616</v>
      </c>
      <c r="C171" s="4" t="s">
        <v>59</v>
      </c>
      <c r="D171" s="4" t="s">
        <v>60</v>
      </c>
      <c r="E171" s="4" t="s">
        <v>61</v>
      </c>
      <c r="F171" s="4" t="s">
        <v>62</v>
      </c>
      <c r="G171" s="4" t="s">
        <v>74</v>
      </c>
      <c r="H171" s="6">
        <v>15</v>
      </c>
      <c r="I171" s="7">
        <v>59.06</v>
      </c>
      <c r="J171" s="7">
        <v>885.9</v>
      </c>
      <c r="K171" s="7">
        <v>29.97</v>
      </c>
      <c r="L171" s="7">
        <v>449.55</v>
      </c>
      <c r="M171" s="7">
        <v>436.35</v>
      </c>
      <c r="N171" s="6">
        <v>148</v>
      </c>
      <c r="O171" s="6">
        <v>50</v>
      </c>
    </row>
    <row r="172" spans="1:15">
      <c r="A172" s="4" t="s">
        <v>262</v>
      </c>
      <c r="B172" s="5">
        <v>45537</v>
      </c>
      <c r="C172" s="4" t="s">
        <v>90</v>
      </c>
      <c r="D172" s="4" t="s">
        <v>91</v>
      </c>
      <c r="E172" s="4" t="s">
        <v>72</v>
      </c>
      <c r="F172" s="4" t="s">
        <v>82</v>
      </c>
      <c r="G172" s="4" t="s">
        <v>88</v>
      </c>
      <c r="H172" s="6">
        <v>16</v>
      </c>
      <c r="I172" s="7">
        <v>49.47</v>
      </c>
      <c r="J172" s="7">
        <v>791.52</v>
      </c>
      <c r="K172" s="7">
        <v>23.45</v>
      </c>
      <c r="L172" s="7">
        <v>375.2</v>
      </c>
      <c r="M172" s="7">
        <v>416.32</v>
      </c>
      <c r="N172" s="6">
        <v>45</v>
      </c>
      <c r="O172" s="6">
        <v>20</v>
      </c>
    </row>
    <row r="173" spans="1:15">
      <c r="A173" s="4" t="s">
        <v>263</v>
      </c>
      <c r="B173" s="5">
        <v>45493</v>
      </c>
      <c r="C173" s="4" t="s">
        <v>59</v>
      </c>
      <c r="D173" s="4" t="s">
        <v>60</v>
      </c>
      <c r="E173" s="4" t="s">
        <v>61</v>
      </c>
      <c r="F173" s="4" t="s">
        <v>62</v>
      </c>
      <c r="G173" s="4" t="s">
        <v>63</v>
      </c>
      <c r="H173" s="6">
        <v>3</v>
      </c>
      <c r="I173" s="7">
        <v>40.159999999999997</v>
      </c>
      <c r="J173" s="7">
        <v>120.48</v>
      </c>
      <c r="K173" s="7">
        <v>71.95</v>
      </c>
      <c r="L173" s="7">
        <v>68.73</v>
      </c>
      <c r="M173" s="7">
        <v>51.75</v>
      </c>
      <c r="N173" s="6">
        <v>116</v>
      </c>
      <c r="O173" s="6">
        <v>50</v>
      </c>
    </row>
    <row r="174" spans="1:15">
      <c r="A174" s="4" t="s">
        <v>264</v>
      </c>
      <c r="B174" s="5">
        <v>45343</v>
      </c>
      <c r="C174" s="4" t="s">
        <v>96</v>
      </c>
      <c r="D174" s="4" t="s">
        <v>97</v>
      </c>
      <c r="E174" s="4" t="s">
        <v>67</v>
      </c>
      <c r="F174" s="4" t="s">
        <v>62</v>
      </c>
      <c r="G174" s="4" t="s">
        <v>88</v>
      </c>
      <c r="H174" s="6">
        <v>13</v>
      </c>
      <c r="I174" s="7">
        <v>10.08</v>
      </c>
      <c r="J174" s="7">
        <v>131.04</v>
      </c>
      <c r="K174" s="7">
        <v>7.36</v>
      </c>
      <c r="L174" s="7">
        <v>95.68</v>
      </c>
      <c r="M174" s="7">
        <v>35.36</v>
      </c>
      <c r="N174" s="6">
        <v>195</v>
      </c>
      <c r="O174" s="6">
        <v>50</v>
      </c>
    </row>
    <row r="175" spans="1:15">
      <c r="A175" s="4" t="s">
        <v>265</v>
      </c>
      <c r="B175" s="5">
        <v>45298</v>
      </c>
      <c r="C175" s="4" t="s">
        <v>65</v>
      </c>
      <c r="D175" s="4" t="s">
        <v>66</v>
      </c>
      <c r="E175" s="4" t="s">
        <v>67</v>
      </c>
      <c r="F175" s="4" t="s">
        <v>119</v>
      </c>
      <c r="G175" s="4" t="s">
        <v>74</v>
      </c>
      <c r="H175" s="6">
        <v>4</v>
      </c>
      <c r="I175" s="7">
        <v>137.88</v>
      </c>
      <c r="J175" s="7">
        <v>551.52</v>
      </c>
      <c r="K175" s="7">
        <v>100.28</v>
      </c>
      <c r="L175" s="7">
        <v>401.12</v>
      </c>
      <c r="M175" s="7">
        <v>150.4</v>
      </c>
      <c r="N175" s="6">
        <v>181</v>
      </c>
      <c r="O175" s="6">
        <v>20</v>
      </c>
    </row>
    <row r="176" spans="1:15">
      <c r="A176" s="4" t="s">
        <v>266</v>
      </c>
      <c r="B176" s="5">
        <v>45461</v>
      </c>
      <c r="C176" s="4" t="s">
        <v>78</v>
      </c>
      <c r="D176" s="4" t="s">
        <v>79</v>
      </c>
      <c r="E176" s="4" t="s">
        <v>72</v>
      </c>
      <c r="F176" s="4" t="s">
        <v>106</v>
      </c>
      <c r="G176" s="4" t="s">
        <v>88</v>
      </c>
      <c r="H176" s="6">
        <v>5</v>
      </c>
      <c r="I176" s="7">
        <v>64.73</v>
      </c>
      <c r="J176" s="7">
        <v>323.64999999999998</v>
      </c>
      <c r="K176" s="7">
        <v>39.96</v>
      </c>
      <c r="L176" s="7">
        <v>199.8</v>
      </c>
      <c r="M176" s="7">
        <v>123.85</v>
      </c>
      <c r="N176" s="6">
        <v>68</v>
      </c>
      <c r="O176" s="6">
        <v>50</v>
      </c>
    </row>
    <row r="177" spans="1:15">
      <c r="A177" s="4" t="s">
        <v>267</v>
      </c>
      <c r="B177" s="5">
        <v>45504</v>
      </c>
      <c r="C177" s="4" t="s">
        <v>111</v>
      </c>
      <c r="D177" s="4" t="s">
        <v>112</v>
      </c>
      <c r="E177" s="4" t="s">
        <v>67</v>
      </c>
      <c r="F177" s="4" t="s">
        <v>103</v>
      </c>
      <c r="G177" s="4" t="s">
        <v>68</v>
      </c>
      <c r="H177" s="6">
        <v>1</v>
      </c>
      <c r="I177" s="7">
        <v>228.48</v>
      </c>
      <c r="J177" s="7">
        <v>228.48</v>
      </c>
      <c r="K177" s="7">
        <v>93.59</v>
      </c>
      <c r="L177" s="7">
        <v>93.59</v>
      </c>
      <c r="M177" s="7">
        <v>134.88999999999999</v>
      </c>
      <c r="N177" s="6">
        <v>109</v>
      </c>
      <c r="O177" s="6">
        <v>30</v>
      </c>
    </row>
    <row r="178" spans="1:15">
      <c r="A178" s="4" t="s">
        <v>268</v>
      </c>
      <c r="B178" s="5">
        <v>45349</v>
      </c>
      <c r="C178" s="4" t="s">
        <v>78</v>
      </c>
      <c r="D178" s="4" t="s">
        <v>79</v>
      </c>
      <c r="E178" s="4" t="s">
        <v>72</v>
      </c>
      <c r="F178" s="4" t="s">
        <v>106</v>
      </c>
      <c r="G178" s="4" t="s">
        <v>92</v>
      </c>
      <c r="H178" s="6">
        <v>6</v>
      </c>
      <c r="I178" s="7">
        <v>247.74</v>
      </c>
      <c r="J178" s="7">
        <v>1486.44</v>
      </c>
      <c r="K178" s="7">
        <v>71.95</v>
      </c>
      <c r="L178" s="7">
        <v>728.1</v>
      </c>
      <c r="M178" s="7">
        <v>758.34</v>
      </c>
      <c r="N178" s="6">
        <v>72</v>
      </c>
      <c r="O178" s="6">
        <v>30</v>
      </c>
    </row>
    <row r="179" spans="1:15">
      <c r="A179" s="4" t="s">
        <v>269</v>
      </c>
      <c r="B179" s="5">
        <v>45314</v>
      </c>
      <c r="C179" s="4" t="s">
        <v>111</v>
      </c>
      <c r="D179" s="4" t="s">
        <v>112</v>
      </c>
      <c r="E179" s="4" t="s">
        <v>67</v>
      </c>
      <c r="F179" s="4" t="s">
        <v>62</v>
      </c>
      <c r="G179" s="4" t="s">
        <v>74</v>
      </c>
      <c r="H179" s="6">
        <v>6</v>
      </c>
      <c r="I179" s="7">
        <v>110.01</v>
      </c>
      <c r="J179" s="7">
        <v>660.06</v>
      </c>
      <c r="K179" s="7">
        <v>58.74</v>
      </c>
      <c r="L179" s="7">
        <v>352.44</v>
      </c>
      <c r="M179" s="7">
        <v>307.62</v>
      </c>
      <c r="N179" s="6">
        <v>46</v>
      </c>
      <c r="O179" s="6">
        <v>50</v>
      </c>
    </row>
    <row r="180" spans="1:15">
      <c r="A180" s="4" t="s">
        <v>270</v>
      </c>
      <c r="B180" s="5">
        <v>45345</v>
      </c>
      <c r="C180" s="4" t="s">
        <v>70</v>
      </c>
      <c r="D180" s="4" t="s">
        <v>71</v>
      </c>
      <c r="E180" s="4" t="s">
        <v>72</v>
      </c>
      <c r="F180" s="4" t="s">
        <v>62</v>
      </c>
      <c r="G180" s="4" t="s">
        <v>74</v>
      </c>
      <c r="H180" s="6">
        <v>16</v>
      </c>
      <c r="I180" s="7">
        <v>167.12</v>
      </c>
      <c r="J180" s="7">
        <v>2673.92</v>
      </c>
      <c r="K180" s="7">
        <v>129.21</v>
      </c>
      <c r="L180" s="7">
        <v>2067.36</v>
      </c>
      <c r="M180" s="7">
        <v>606.55999999999995</v>
      </c>
      <c r="N180" s="6">
        <v>182</v>
      </c>
      <c r="O180" s="6">
        <v>20</v>
      </c>
    </row>
    <row r="181" spans="1:15">
      <c r="A181" s="4" t="s">
        <v>271</v>
      </c>
      <c r="B181" s="5">
        <v>45536</v>
      </c>
      <c r="C181" s="4" t="s">
        <v>90</v>
      </c>
      <c r="D181" s="4" t="s">
        <v>91</v>
      </c>
      <c r="E181" s="4" t="s">
        <v>72</v>
      </c>
      <c r="F181" s="4" t="s">
        <v>106</v>
      </c>
      <c r="G181" s="4" t="s">
        <v>68</v>
      </c>
      <c r="H181" s="6">
        <v>4</v>
      </c>
      <c r="I181" s="7">
        <v>146.57</v>
      </c>
      <c r="J181" s="7">
        <v>586.28</v>
      </c>
      <c r="K181" s="7">
        <v>114.89</v>
      </c>
      <c r="L181" s="7">
        <v>459.56</v>
      </c>
      <c r="M181" s="7">
        <v>126.72</v>
      </c>
      <c r="N181" s="6">
        <v>71</v>
      </c>
      <c r="O181" s="6">
        <v>20</v>
      </c>
    </row>
    <row r="182" spans="1:15">
      <c r="A182" s="4" t="s">
        <v>272</v>
      </c>
      <c r="B182" s="5">
        <v>45509</v>
      </c>
      <c r="C182" s="4" t="s">
        <v>78</v>
      </c>
      <c r="D182" s="4" t="s">
        <v>79</v>
      </c>
      <c r="E182" s="4" t="s">
        <v>72</v>
      </c>
      <c r="F182" s="4" t="s">
        <v>119</v>
      </c>
      <c r="G182" s="4" t="s">
        <v>99</v>
      </c>
      <c r="H182" s="6">
        <v>14</v>
      </c>
      <c r="I182" s="7">
        <v>152.43</v>
      </c>
      <c r="J182" s="7">
        <v>2134.02</v>
      </c>
      <c r="K182" s="7">
        <v>99.79</v>
      </c>
      <c r="L182" s="7">
        <v>1397.06</v>
      </c>
      <c r="M182" s="7">
        <v>736.96</v>
      </c>
      <c r="N182" s="6">
        <v>35</v>
      </c>
      <c r="O182" s="6">
        <v>50</v>
      </c>
    </row>
    <row r="183" spans="1:15">
      <c r="A183" s="4" t="s">
        <v>273</v>
      </c>
      <c r="B183" s="5">
        <v>45409</v>
      </c>
      <c r="C183" s="4" t="s">
        <v>96</v>
      </c>
      <c r="D183" s="4" t="s">
        <v>97</v>
      </c>
      <c r="E183" s="4" t="s">
        <v>67</v>
      </c>
      <c r="F183" s="4" t="s">
        <v>62</v>
      </c>
      <c r="G183" s="4" t="s">
        <v>88</v>
      </c>
      <c r="H183" s="6">
        <v>3</v>
      </c>
      <c r="I183" s="7">
        <v>147.34</v>
      </c>
      <c r="J183" s="7">
        <v>442.02</v>
      </c>
      <c r="K183" s="7">
        <v>83.8</v>
      </c>
      <c r="L183" s="7">
        <v>251.4</v>
      </c>
      <c r="M183" s="7">
        <v>190.62</v>
      </c>
      <c r="N183" s="6">
        <v>147</v>
      </c>
      <c r="O183" s="6">
        <v>50</v>
      </c>
    </row>
    <row r="184" spans="1:15">
      <c r="A184" s="4" t="s">
        <v>274</v>
      </c>
      <c r="B184" s="5">
        <v>45477</v>
      </c>
      <c r="C184" s="4" t="s">
        <v>78</v>
      </c>
      <c r="D184" s="4" t="s">
        <v>79</v>
      </c>
      <c r="E184" s="4" t="s">
        <v>72</v>
      </c>
      <c r="F184" s="4" t="s">
        <v>103</v>
      </c>
      <c r="G184" s="4" t="s">
        <v>68</v>
      </c>
      <c r="H184" s="6">
        <v>5</v>
      </c>
      <c r="I184" s="7">
        <v>230.62</v>
      </c>
      <c r="J184" s="7">
        <v>1153.0999999999999</v>
      </c>
      <c r="K184" s="7">
        <v>97.74</v>
      </c>
      <c r="L184" s="7">
        <v>488.7</v>
      </c>
      <c r="M184" s="7">
        <v>664.4</v>
      </c>
      <c r="N184" s="6">
        <v>89</v>
      </c>
      <c r="O184" s="6">
        <v>30</v>
      </c>
    </row>
    <row r="185" spans="1:15">
      <c r="A185" s="4" t="s">
        <v>275</v>
      </c>
      <c r="B185" s="5">
        <v>45507</v>
      </c>
      <c r="C185" s="4" t="s">
        <v>59</v>
      </c>
      <c r="D185" s="4" t="s">
        <v>60</v>
      </c>
      <c r="E185" s="4" t="s">
        <v>61</v>
      </c>
      <c r="F185" s="4" t="s">
        <v>103</v>
      </c>
      <c r="G185" s="4" t="s">
        <v>99</v>
      </c>
      <c r="H185" s="6">
        <v>7</v>
      </c>
      <c r="I185" s="7">
        <v>207.82</v>
      </c>
      <c r="J185" s="7">
        <v>1454.74</v>
      </c>
      <c r="K185" s="7">
        <v>71.95</v>
      </c>
      <c r="L185" s="7">
        <v>614.39</v>
      </c>
      <c r="M185" s="7">
        <v>840.35</v>
      </c>
      <c r="N185" s="6">
        <v>35</v>
      </c>
      <c r="O185" s="6">
        <v>20</v>
      </c>
    </row>
    <row r="186" spans="1:15">
      <c r="A186" s="4" t="s">
        <v>276</v>
      </c>
      <c r="B186" s="5">
        <v>45346</v>
      </c>
      <c r="C186" s="4" t="s">
        <v>90</v>
      </c>
      <c r="D186" s="4" t="s">
        <v>91</v>
      </c>
      <c r="E186" s="4" t="s">
        <v>72</v>
      </c>
      <c r="F186" s="4" t="s">
        <v>62</v>
      </c>
      <c r="G186" s="4" t="s">
        <v>88</v>
      </c>
      <c r="H186" s="6">
        <v>16</v>
      </c>
      <c r="I186" s="7">
        <v>210.17</v>
      </c>
      <c r="J186" s="7">
        <v>3362.72</v>
      </c>
      <c r="K186" s="7">
        <v>157.25</v>
      </c>
      <c r="L186" s="7">
        <v>2516</v>
      </c>
      <c r="M186" s="7">
        <v>846.72</v>
      </c>
      <c r="N186" s="6">
        <v>7</v>
      </c>
      <c r="O186" s="6">
        <v>20</v>
      </c>
    </row>
    <row r="187" spans="1:15">
      <c r="A187" s="4" t="s">
        <v>277</v>
      </c>
      <c r="B187" s="5">
        <v>45368</v>
      </c>
      <c r="C187" s="4" t="s">
        <v>111</v>
      </c>
      <c r="D187" s="4" t="s">
        <v>112</v>
      </c>
      <c r="E187" s="4" t="s">
        <v>67</v>
      </c>
      <c r="F187" s="4" t="s">
        <v>82</v>
      </c>
      <c r="G187" s="4" t="s">
        <v>99</v>
      </c>
      <c r="H187" s="6">
        <v>16</v>
      </c>
      <c r="I187" s="7">
        <v>187.17</v>
      </c>
      <c r="J187" s="7">
        <v>2994.72</v>
      </c>
      <c r="K187" s="7">
        <v>71.95</v>
      </c>
      <c r="L187" s="7">
        <v>2094.08</v>
      </c>
      <c r="M187" s="7">
        <v>900.64</v>
      </c>
      <c r="N187" s="6">
        <v>178</v>
      </c>
      <c r="O187" s="6">
        <v>30</v>
      </c>
    </row>
    <row r="188" spans="1:15">
      <c r="A188" s="4" t="s">
        <v>278</v>
      </c>
      <c r="B188" s="5">
        <v>45348</v>
      </c>
      <c r="C188" s="4" t="s">
        <v>111</v>
      </c>
      <c r="D188" s="4" t="s">
        <v>112</v>
      </c>
      <c r="E188" s="4" t="s">
        <v>67</v>
      </c>
      <c r="F188" s="4" t="s">
        <v>103</v>
      </c>
      <c r="G188" s="4" t="s">
        <v>63</v>
      </c>
      <c r="H188" s="6">
        <v>2</v>
      </c>
      <c r="I188" s="7">
        <v>220.88</v>
      </c>
      <c r="J188" s="7">
        <v>441.76</v>
      </c>
      <c r="K188" s="7">
        <v>91.19</v>
      </c>
      <c r="L188" s="7">
        <v>182.38</v>
      </c>
      <c r="M188" s="7">
        <v>259.38</v>
      </c>
      <c r="N188" s="6">
        <v>192</v>
      </c>
      <c r="O188" s="6">
        <v>20</v>
      </c>
    </row>
    <row r="189" spans="1:15">
      <c r="A189" s="4" t="s">
        <v>279</v>
      </c>
      <c r="B189" s="5">
        <v>45424</v>
      </c>
      <c r="C189" s="4" t="s">
        <v>70</v>
      </c>
      <c r="D189" s="4" t="s">
        <v>71</v>
      </c>
      <c r="E189" s="4" t="s">
        <v>72</v>
      </c>
      <c r="F189" s="4" t="s">
        <v>62</v>
      </c>
      <c r="G189" s="4" t="s">
        <v>74</v>
      </c>
      <c r="H189" s="6">
        <v>8</v>
      </c>
      <c r="I189" s="7">
        <v>108.8</v>
      </c>
      <c r="J189" s="7">
        <v>1182</v>
      </c>
      <c r="K189" s="7">
        <v>50.34</v>
      </c>
      <c r="L189" s="7">
        <v>402.72</v>
      </c>
      <c r="M189" s="7">
        <v>467.68</v>
      </c>
      <c r="N189" s="6">
        <v>23</v>
      </c>
      <c r="O189" s="6">
        <v>50</v>
      </c>
    </row>
    <row r="190" spans="1:15">
      <c r="A190" s="4" t="s">
        <v>280</v>
      </c>
      <c r="B190" s="5">
        <v>45578</v>
      </c>
      <c r="C190" s="4" t="s">
        <v>90</v>
      </c>
      <c r="D190" s="4" t="s">
        <v>91</v>
      </c>
      <c r="E190" s="4" t="s">
        <v>72</v>
      </c>
      <c r="F190" s="4" t="s">
        <v>103</v>
      </c>
      <c r="G190" s="4" t="s">
        <v>63</v>
      </c>
      <c r="H190" s="6">
        <v>15</v>
      </c>
      <c r="I190" s="7">
        <v>121.97</v>
      </c>
      <c r="J190" s="7">
        <v>1829.55</v>
      </c>
      <c r="K190" s="7">
        <v>80.63</v>
      </c>
      <c r="L190" s="7">
        <v>1209.45</v>
      </c>
      <c r="M190" s="7">
        <v>620.1</v>
      </c>
      <c r="N190" s="6">
        <v>103</v>
      </c>
      <c r="O190" s="6">
        <v>30</v>
      </c>
    </row>
    <row r="191" spans="1:15">
      <c r="A191" s="4" t="s">
        <v>281</v>
      </c>
      <c r="B191" s="5">
        <v>45331</v>
      </c>
      <c r="C191" s="4" t="s">
        <v>84</v>
      </c>
      <c r="D191" s="4" t="s">
        <v>85</v>
      </c>
      <c r="E191" s="4" t="s">
        <v>86</v>
      </c>
      <c r="F191" s="4" t="s">
        <v>62</v>
      </c>
      <c r="G191" s="4" t="s">
        <v>92</v>
      </c>
      <c r="H191" s="6">
        <v>20</v>
      </c>
      <c r="I191" s="7">
        <v>195.81</v>
      </c>
      <c r="J191" s="7">
        <v>1182</v>
      </c>
      <c r="K191" s="7">
        <v>104.6</v>
      </c>
      <c r="L191" s="7">
        <v>2092</v>
      </c>
      <c r="M191" s="7">
        <v>1824.2</v>
      </c>
      <c r="N191" s="6">
        <v>61</v>
      </c>
      <c r="O191" s="6">
        <v>30</v>
      </c>
    </row>
    <row r="192" spans="1:15">
      <c r="A192" s="4" t="s">
        <v>282</v>
      </c>
      <c r="B192" s="5">
        <v>45388</v>
      </c>
      <c r="C192" s="4" t="s">
        <v>59</v>
      </c>
      <c r="D192" s="4" t="s">
        <v>60</v>
      </c>
      <c r="E192" s="4" t="s">
        <v>61</v>
      </c>
      <c r="F192" s="4" t="s">
        <v>62</v>
      </c>
      <c r="G192" s="4" t="s">
        <v>92</v>
      </c>
      <c r="H192" s="6">
        <v>2</v>
      </c>
      <c r="I192" s="7">
        <v>63.88</v>
      </c>
      <c r="J192" s="7">
        <v>1182</v>
      </c>
      <c r="K192" s="7">
        <v>71.95</v>
      </c>
      <c r="L192" s="7">
        <v>55.44</v>
      </c>
      <c r="M192" s="7">
        <v>72.319999999999993</v>
      </c>
      <c r="N192" s="6">
        <v>145</v>
      </c>
      <c r="O192" s="6">
        <v>50</v>
      </c>
    </row>
    <row r="193" spans="1:15">
      <c r="A193" s="4" t="s">
        <v>283</v>
      </c>
      <c r="B193" s="5">
        <v>45450</v>
      </c>
      <c r="C193" s="4" t="s">
        <v>65</v>
      </c>
      <c r="D193" s="4" t="s">
        <v>66</v>
      </c>
      <c r="E193" s="4" t="s">
        <v>67</v>
      </c>
      <c r="F193" s="4" t="s">
        <v>76</v>
      </c>
      <c r="G193" s="4" t="s">
        <v>99</v>
      </c>
      <c r="H193" s="6">
        <v>12</v>
      </c>
      <c r="I193" s="7">
        <v>189.16</v>
      </c>
      <c r="J193" s="7">
        <v>2269.92</v>
      </c>
      <c r="K193" s="7">
        <v>71.95</v>
      </c>
      <c r="L193" s="7">
        <v>1778.52</v>
      </c>
      <c r="M193" s="7">
        <v>491.4</v>
      </c>
      <c r="N193" s="6">
        <v>128</v>
      </c>
      <c r="O193" s="6">
        <v>20</v>
      </c>
    </row>
    <row r="194" spans="1:15">
      <c r="A194" s="4" t="s">
        <v>284</v>
      </c>
      <c r="B194" s="5">
        <v>45500</v>
      </c>
      <c r="C194" s="4" t="s">
        <v>90</v>
      </c>
      <c r="D194" s="4" t="s">
        <v>91</v>
      </c>
      <c r="E194" s="4" t="s">
        <v>72</v>
      </c>
      <c r="F194" s="4" t="s">
        <v>82</v>
      </c>
      <c r="G194" s="4" t="s">
        <v>88</v>
      </c>
      <c r="H194" s="6">
        <v>17</v>
      </c>
      <c r="I194" s="7">
        <v>202.84</v>
      </c>
      <c r="J194" s="7">
        <v>3448.28</v>
      </c>
      <c r="K194" s="7">
        <v>93.32</v>
      </c>
      <c r="L194" s="7">
        <v>1586.44</v>
      </c>
      <c r="M194" s="7">
        <v>1861.84</v>
      </c>
      <c r="N194" s="6">
        <v>150</v>
      </c>
      <c r="O194" s="6">
        <v>30</v>
      </c>
    </row>
    <row r="195" spans="1:15">
      <c r="A195" s="4" t="s">
        <v>285</v>
      </c>
      <c r="B195" s="5">
        <v>45332</v>
      </c>
      <c r="C195" s="4" t="s">
        <v>90</v>
      </c>
      <c r="D195" s="4" t="s">
        <v>91</v>
      </c>
      <c r="E195" s="4" t="s">
        <v>72</v>
      </c>
      <c r="F195" s="4" t="s">
        <v>103</v>
      </c>
      <c r="G195" s="4" t="s">
        <v>92</v>
      </c>
      <c r="H195" s="6">
        <v>8</v>
      </c>
      <c r="I195" s="7">
        <v>221.68</v>
      </c>
      <c r="J195" s="7">
        <v>1773.44</v>
      </c>
      <c r="K195" s="7">
        <v>160.27000000000001</v>
      </c>
      <c r="L195" s="7">
        <v>1282.1600000000001</v>
      </c>
      <c r="M195" s="7">
        <v>491.28</v>
      </c>
      <c r="N195" s="6">
        <v>167</v>
      </c>
      <c r="O195" s="6">
        <v>20</v>
      </c>
    </row>
    <row r="196" spans="1:15">
      <c r="A196" s="4" t="s">
        <v>286</v>
      </c>
      <c r="B196" s="5">
        <v>45466</v>
      </c>
      <c r="C196" s="4" t="s">
        <v>78</v>
      </c>
      <c r="D196" s="4" t="s">
        <v>79</v>
      </c>
      <c r="E196" s="4" t="s">
        <v>72</v>
      </c>
      <c r="F196" s="4" t="s">
        <v>62</v>
      </c>
      <c r="G196" s="4" t="s">
        <v>74</v>
      </c>
      <c r="H196" s="6">
        <v>5</v>
      </c>
      <c r="I196" s="7">
        <v>88.06</v>
      </c>
      <c r="J196" s="7">
        <v>1182</v>
      </c>
      <c r="K196" s="7">
        <v>47.92</v>
      </c>
      <c r="L196" s="7">
        <v>239.6</v>
      </c>
      <c r="M196" s="7">
        <v>200.7</v>
      </c>
      <c r="N196" s="6">
        <v>110</v>
      </c>
      <c r="O196" s="6">
        <v>20</v>
      </c>
    </row>
    <row r="197" spans="1:15">
      <c r="A197" s="4" t="s">
        <v>287</v>
      </c>
      <c r="B197" s="5">
        <v>45613</v>
      </c>
      <c r="C197" s="4" t="s">
        <v>78</v>
      </c>
      <c r="D197" s="4" t="s">
        <v>79</v>
      </c>
      <c r="E197" s="4" t="s">
        <v>72</v>
      </c>
      <c r="F197" s="4" t="s">
        <v>62</v>
      </c>
      <c r="G197" s="4" t="s">
        <v>99</v>
      </c>
      <c r="H197" s="6">
        <v>4</v>
      </c>
      <c r="I197" s="7">
        <v>202.16</v>
      </c>
      <c r="J197" s="7">
        <v>808.64</v>
      </c>
      <c r="K197" s="7">
        <v>92.4</v>
      </c>
      <c r="L197" s="7">
        <v>369.6</v>
      </c>
      <c r="M197" s="7">
        <v>439.04</v>
      </c>
      <c r="N197" s="6">
        <v>79</v>
      </c>
      <c r="O197" s="6">
        <v>50</v>
      </c>
    </row>
    <row r="198" spans="1:15">
      <c r="A198" s="4" t="s">
        <v>288</v>
      </c>
      <c r="B198" s="5">
        <v>45435</v>
      </c>
      <c r="C198" s="4" t="s">
        <v>84</v>
      </c>
      <c r="D198" s="4" t="s">
        <v>85</v>
      </c>
      <c r="E198" s="4" t="s">
        <v>86</v>
      </c>
      <c r="F198" s="4" t="s">
        <v>82</v>
      </c>
      <c r="G198" s="4" t="s">
        <v>99</v>
      </c>
      <c r="H198" s="6">
        <v>12</v>
      </c>
      <c r="I198" s="7">
        <v>26.86</v>
      </c>
      <c r="J198" s="7">
        <v>322.32</v>
      </c>
      <c r="K198" s="7">
        <v>12.67</v>
      </c>
      <c r="L198" s="7">
        <v>152.04</v>
      </c>
      <c r="M198" s="7">
        <v>170.28</v>
      </c>
      <c r="N198" s="6">
        <v>197</v>
      </c>
      <c r="O198" s="6">
        <v>30</v>
      </c>
    </row>
    <row r="199" spans="1:15">
      <c r="A199" s="4" t="s">
        <v>289</v>
      </c>
      <c r="B199" s="5">
        <v>45355</v>
      </c>
      <c r="C199" s="4" t="s">
        <v>78</v>
      </c>
      <c r="D199" s="4" t="s">
        <v>79</v>
      </c>
      <c r="E199" s="4" t="s">
        <v>72</v>
      </c>
      <c r="F199" s="4" t="s">
        <v>103</v>
      </c>
      <c r="G199" s="4" t="s">
        <v>99</v>
      </c>
      <c r="H199" s="6">
        <v>2</v>
      </c>
      <c r="I199" s="7">
        <v>94.05</v>
      </c>
      <c r="J199" s="7">
        <v>188.1</v>
      </c>
      <c r="K199" s="7">
        <v>48.4</v>
      </c>
      <c r="L199" s="7">
        <v>96.8</v>
      </c>
      <c r="M199" s="7">
        <v>91.3</v>
      </c>
      <c r="N199" s="6">
        <v>104</v>
      </c>
      <c r="O199" s="6">
        <v>50</v>
      </c>
    </row>
    <row r="200" spans="1:15">
      <c r="A200" s="4" t="s">
        <v>290</v>
      </c>
      <c r="B200" s="5">
        <v>45503</v>
      </c>
      <c r="C200" s="4" t="s">
        <v>78</v>
      </c>
      <c r="D200" s="4" t="s">
        <v>79</v>
      </c>
      <c r="E200" s="4" t="s">
        <v>72</v>
      </c>
      <c r="F200" s="4" t="s">
        <v>62</v>
      </c>
      <c r="G200" s="4" t="s">
        <v>88</v>
      </c>
      <c r="H200" s="6">
        <v>9</v>
      </c>
      <c r="I200" s="7">
        <v>219.97</v>
      </c>
      <c r="J200" s="7">
        <v>1979.73</v>
      </c>
      <c r="K200" s="7">
        <v>175.21</v>
      </c>
      <c r="L200" s="7">
        <v>1576.89</v>
      </c>
      <c r="M200" s="7">
        <v>402.84</v>
      </c>
      <c r="N200" s="6">
        <v>10</v>
      </c>
      <c r="O200" s="6">
        <v>50</v>
      </c>
    </row>
    <row r="201" spans="1:15">
      <c r="A201" s="4" t="s">
        <v>291</v>
      </c>
      <c r="B201" s="5">
        <v>45345</v>
      </c>
      <c r="C201" s="4" t="s">
        <v>70</v>
      </c>
      <c r="D201" s="4" t="s">
        <v>71</v>
      </c>
      <c r="E201" s="4" t="s">
        <v>72</v>
      </c>
      <c r="F201" s="4" t="s">
        <v>62</v>
      </c>
      <c r="G201" s="4" t="s">
        <v>99</v>
      </c>
      <c r="H201" s="6">
        <v>13</v>
      </c>
      <c r="I201" s="7">
        <v>43.76</v>
      </c>
      <c r="J201" s="7">
        <v>568.88</v>
      </c>
      <c r="K201" s="7">
        <v>24.49</v>
      </c>
      <c r="L201" s="7">
        <v>318.37</v>
      </c>
      <c r="M201" s="7">
        <v>250.51</v>
      </c>
      <c r="N201" s="6">
        <v>18</v>
      </c>
      <c r="O201" s="6">
        <v>20</v>
      </c>
    </row>
    <row r="202" spans="1:15">
      <c r="A202" s="4" t="s">
        <v>292</v>
      </c>
      <c r="B202" s="5">
        <v>45530</v>
      </c>
      <c r="C202" s="4" t="s">
        <v>90</v>
      </c>
      <c r="D202" s="4" t="s">
        <v>91</v>
      </c>
      <c r="E202" s="4" t="s">
        <v>72</v>
      </c>
      <c r="F202" s="4" t="s">
        <v>119</v>
      </c>
      <c r="G202" s="4" t="s">
        <v>99</v>
      </c>
      <c r="H202" s="6">
        <v>3</v>
      </c>
      <c r="I202" s="7">
        <v>49.17</v>
      </c>
      <c r="J202" s="7">
        <v>147.51</v>
      </c>
      <c r="K202" s="7">
        <v>21.8</v>
      </c>
      <c r="L202" s="7">
        <v>65.400000000000006</v>
      </c>
      <c r="M202" s="7">
        <v>82.11</v>
      </c>
      <c r="N202" s="6">
        <v>101</v>
      </c>
      <c r="O202" s="6">
        <v>30</v>
      </c>
    </row>
    <row r="203" spans="1:15">
      <c r="A203" s="4" t="s">
        <v>293</v>
      </c>
      <c r="B203" s="5">
        <v>45535</v>
      </c>
      <c r="C203" s="4" t="s">
        <v>90</v>
      </c>
      <c r="D203" s="4" t="s">
        <v>91</v>
      </c>
      <c r="E203" s="4" t="s">
        <v>72</v>
      </c>
      <c r="F203" s="4" t="s">
        <v>119</v>
      </c>
      <c r="G203" s="4" t="s">
        <v>68</v>
      </c>
      <c r="H203" s="6">
        <v>9</v>
      </c>
      <c r="I203" s="7">
        <v>116.37</v>
      </c>
      <c r="J203" s="7">
        <v>1047.33</v>
      </c>
      <c r="K203" s="7">
        <v>71.95</v>
      </c>
      <c r="L203" s="7">
        <v>647.28</v>
      </c>
      <c r="M203" s="7">
        <v>400.05</v>
      </c>
      <c r="N203" s="6">
        <v>120</v>
      </c>
      <c r="O203" s="6">
        <v>20</v>
      </c>
    </row>
    <row r="204" spans="1:15">
      <c r="A204" s="4" t="s">
        <v>294</v>
      </c>
      <c r="B204" s="5">
        <v>45477</v>
      </c>
      <c r="C204" s="4" t="s">
        <v>96</v>
      </c>
      <c r="D204" s="4" t="s">
        <v>97</v>
      </c>
      <c r="E204" s="4" t="s">
        <v>67</v>
      </c>
      <c r="F204" s="4" t="s">
        <v>62</v>
      </c>
      <c r="G204" s="4" t="s">
        <v>68</v>
      </c>
      <c r="H204" s="6">
        <v>16</v>
      </c>
      <c r="I204" s="7">
        <v>57.29</v>
      </c>
      <c r="J204" s="7">
        <v>916.64</v>
      </c>
      <c r="K204" s="7">
        <v>27.76</v>
      </c>
      <c r="L204" s="7">
        <v>444.16</v>
      </c>
      <c r="M204" s="7">
        <v>472.48</v>
      </c>
      <c r="N204" s="6">
        <v>5</v>
      </c>
      <c r="O204" s="6">
        <v>50</v>
      </c>
    </row>
    <row r="205" spans="1:15">
      <c r="A205" s="4" t="s">
        <v>295</v>
      </c>
      <c r="B205" s="5">
        <v>45333</v>
      </c>
      <c r="C205" s="4" t="s">
        <v>70</v>
      </c>
      <c r="D205" s="4" t="s">
        <v>71</v>
      </c>
      <c r="E205" s="4" t="s">
        <v>72</v>
      </c>
      <c r="F205" s="4" t="s">
        <v>62</v>
      </c>
      <c r="G205" s="4" t="s">
        <v>63</v>
      </c>
      <c r="H205" s="6">
        <v>15</v>
      </c>
      <c r="I205" s="7">
        <v>218.47</v>
      </c>
      <c r="J205" s="7">
        <v>3277.05</v>
      </c>
      <c r="K205" s="7">
        <v>133.25</v>
      </c>
      <c r="L205" s="7">
        <v>1998.75</v>
      </c>
      <c r="M205" s="7">
        <v>1278.3</v>
      </c>
      <c r="N205" s="6">
        <v>171</v>
      </c>
      <c r="O205" s="6">
        <v>30</v>
      </c>
    </row>
    <row r="206" spans="1:15">
      <c r="A206" s="4" t="s">
        <v>296</v>
      </c>
      <c r="B206" s="5">
        <v>45376</v>
      </c>
      <c r="C206" s="4" t="s">
        <v>59</v>
      </c>
      <c r="D206" s="4" t="s">
        <v>60</v>
      </c>
      <c r="E206" s="4" t="s">
        <v>61</v>
      </c>
      <c r="F206" s="4" t="s">
        <v>103</v>
      </c>
      <c r="G206" s="4" t="s">
        <v>88</v>
      </c>
      <c r="H206" s="6">
        <v>12</v>
      </c>
      <c r="I206" s="7">
        <v>235.78</v>
      </c>
      <c r="J206" s="7">
        <v>2829.36</v>
      </c>
      <c r="K206" s="7">
        <v>139.74</v>
      </c>
      <c r="L206" s="7">
        <v>1676.88</v>
      </c>
      <c r="M206" s="7">
        <v>1152.48</v>
      </c>
      <c r="N206" s="6">
        <v>137</v>
      </c>
      <c r="O206" s="6">
        <v>50</v>
      </c>
    </row>
    <row r="207" spans="1:15">
      <c r="A207" s="4" t="s">
        <v>297</v>
      </c>
      <c r="B207" s="5">
        <v>45579</v>
      </c>
      <c r="C207" s="4" t="s">
        <v>59</v>
      </c>
      <c r="D207" s="4" t="s">
        <v>60</v>
      </c>
      <c r="E207" s="4" t="s">
        <v>61</v>
      </c>
      <c r="F207" s="4" t="s">
        <v>76</v>
      </c>
      <c r="G207" s="4" t="s">
        <v>63</v>
      </c>
      <c r="H207" s="6">
        <v>3</v>
      </c>
      <c r="I207" s="7">
        <v>182.07</v>
      </c>
      <c r="J207" s="7">
        <v>546.21</v>
      </c>
      <c r="K207" s="7">
        <v>114.96</v>
      </c>
      <c r="L207" s="7">
        <v>344.88</v>
      </c>
      <c r="M207" s="7">
        <v>201.33</v>
      </c>
      <c r="N207" s="6">
        <v>37</v>
      </c>
      <c r="O207" s="6">
        <v>30</v>
      </c>
    </row>
    <row r="208" spans="1:15">
      <c r="A208" s="4" t="s">
        <v>298</v>
      </c>
      <c r="B208" s="5">
        <v>45350</v>
      </c>
      <c r="C208" s="4" t="s">
        <v>96</v>
      </c>
      <c r="D208" s="4" t="s">
        <v>97</v>
      </c>
      <c r="E208" s="4" t="s">
        <v>67</v>
      </c>
      <c r="F208" s="4" t="s">
        <v>82</v>
      </c>
      <c r="G208" s="4" t="s">
        <v>88</v>
      </c>
      <c r="H208" s="6">
        <v>9</v>
      </c>
      <c r="I208" s="7">
        <v>132.57</v>
      </c>
      <c r="J208" s="7">
        <v>1193.1300000000001</v>
      </c>
      <c r="K208" s="7">
        <v>53.22</v>
      </c>
      <c r="L208" s="7">
        <v>478.98</v>
      </c>
      <c r="M208" s="7">
        <v>714.15</v>
      </c>
      <c r="N208" s="6">
        <v>115</v>
      </c>
      <c r="O208" s="6">
        <v>20</v>
      </c>
    </row>
    <row r="209" spans="1:15">
      <c r="A209" s="4" t="s">
        <v>299</v>
      </c>
      <c r="B209" s="5">
        <v>45507</v>
      </c>
      <c r="C209" s="4" t="s">
        <v>111</v>
      </c>
      <c r="D209" s="4" t="s">
        <v>112</v>
      </c>
      <c r="E209" s="4" t="s">
        <v>67</v>
      </c>
      <c r="F209" s="4" t="s">
        <v>62</v>
      </c>
      <c r="G209" s="4" t="s">
        <v>88</v>
      </c>
      <c r="H209" s="6">
        <v>20</v>
      </c>
      <c r="I209" s="7">
        <v>97.5</v>
      </c>
      <c r="J209" s="7">
        <v>1950</v>
      </c>
      <c r="K209" s="7">
        <v>52.58</v>
      </c>
      <c r="L209" s="7">
        <v>1051.5999999999999</v>
      </c>
      <c r="M209" s="7">
        <v>898.4</v>
      </c>
      <c r="N209" s="6">
        <v>48</v>
      </c>
      <c r="O209" s="6">
        <v>50</v>
      </c>
    </row>
    <row r="210" spans="1:15">
      <c r="A210" s="4" t="s">
        <v>300</v>
      </c>
      <c r="B210" s="5">
        <v>45355</v>
      </c>
      <c r="C210" s="4" t="s">
        <v>78</v>
      </c>
      <c r="D210" s="4" t="s">
        <v>79</v>
      </c>
      <c r="E210" s="4" t="s">
        <v>72</v>
      </c>
      <c r="F210" s="4" t="s">
        <v>76</v>
      </c>
      <c r="G210" s="4" t="s">
        <v>63</v>
      </c>
      <c r="H210" s="6">
        <v>15</v>
      </c>
      <c r="I210" s="7">
        <v>106.44</v>
      </c>
      <c r="J210" s="7">
        <v>1596.6</v>
      </c>
      <c r="K210" s="7">
        <v>57.55</v>
      </c>
      <c r="L210" s="7">
        <v>863.25</v>
      </c>
      <c r="M210" s="7">
        <v>733.35</v>
      </c>
      <c r="N210" s="6">
        <v>138</v>
      </c>
      <c r="O210" s="6">
        <v>30</v>
      </c>
    </row>
    <row r="211" spans="1:15">
      <c r="A211" s="4" t="s">
        <v>301</v>
      </c>
      <c r="B211" s="5">
        <v>45375</v>
      </c>
      <c r="C211" s="4" t="s">
        <v>96</v>
      </c>
      <c r="D211" s="4" t="s">
        <v>97</v>
      </c>
      <c r="E211" s="4" t="s">
        <v>67</v>
      </c>
      <c r="F211" s="4" t="s">
        <v>82</v>
      </c>
      <c r="G211" s="4" t="s">
        <v>88</v>
      </c>
      <c r="H211" s="6">
        <v>13</v>
      </c>
      <c r="I211" s="7">
        <v>74.83</v>
      </c>
      <c r="J211" s="7">
        <v>972.79</v>
      </c>
      <c r="K211" s="7">
        <v>49.68</v>
      </c>
      <c r="L211" s="7">
        <v>645.84</v>
      </c>
      <c r="M211" s="7">
        <v>326.95</v>
      </c>
      <c r="N211" s="6">
        <v>174</v>
      </c>
      <c r="O211" s="6">
        <v>30</v>
      </c>
    </row>
    <row r="212" spans="1:15">
      <c r="A212" s="4" t="s">
        <v>302</v>
      </c>
      <c r="B212" s="5">
        <v>45345</v>
      </c>
      <c r="C212" s="4" t="s">
        <v>90</v>
      </c>
      <c r="D212" s="4" t="s">
        <v>91</v>
      </c>
      <c r="E212" s="4" t="s">
        <v>72</v>
      </c>
      <c r="F212" s="4" t="s">
        <v>106</v>
      </c>
      <c r="G212" s="4" t="s">
        <v>88</v>
      </c>
      <c r="H212" s="6">
        <v>1</v>
      </c>
      <c r="I212" s="7">
        <v>155.97999999999999</v>
      </c>
      <c r="J212" s="7">
        <v>1182</v>
      </c>
      <c r="K212" s="7">
        <v>88.05</v>
      </c>
      <c r="L212" s="7">
        <v>88.05</v>
      </c>
      <c r="M212" s="7">
        <v>67.930000000000007</v>
      </c>
      <c r="N212" s="6">
        <v>127</v>
      </c>
      <c r="O212" s="6">
        <v>50</v>
      </c>
    </row>
    <row r="213" spans="1:15">
      <c r="A213" s="4" t="s">
        <v>303</v>
      </c>
      <c r="B213" s="5">
        <v>45507</v>
      </c>
      <c r="C213" s="4" t="s">
        <v>59</v>
      </c>
      <c r="D213" s="4" t="s">
        <v>60</v>
      </c>
      <c r="E213" s="4" t="s">
        <v>61</v>
      </c>
      <c r="F213" s="4" t="s">
        <v>82</v>
      </c>
      <c r="G213" s="4" t="s">
        <v>63</v>
      </c>
      <c r="H213" s="6">
        <v>8</v>
      </c>
      <c r="I213" s="7">
        <v>195.34</v>
      </c>
      <c r="J213" s="7">
        <v>1562.72</v>
      </c>
      <c r="K213" s="7">
        <v>121.23</v>
      </c>
      <c r="L213" s="7">
        <v>969.84</v>
      </c>
      <c r="M213" s="7">
        <v>592.88</v>
      </c>
      <c r="N213" s="6">
        <v>29</v>
      </c>
      <c r="O213" s="6">
        <v>20</v>
      </c>
    </row>
    <row r="214" spans="1:15">
      <c r="A214" s="4" t="s">
        <v>304</v>
      </c>
      <c r="B214" s="5">
        <v>45622</v>
      </c>
      <c r="C214" s="4" t="s">
        <v>96</v>
      </c>
      <c r="D214" s="4" t="s">
        <v>97</v>
      </c>
      <c r="E214" s="4" t="s">
        <v>67</v>
      </c>
      <c r="F214" s="4" t="s">
        <v>82</v>
      </c>
      <c r="G214" s="4" t="s">
        <v>88</v>
      </c>
      <c r="H214" s="6">
        <v>1</v>
      </c>
      <c r="I214" s="7">
        <v>235.21</v>
      </c>
      <c r="J214" s="7">
        <v>235.21</v>
      </c>
      <c r="K214" s="7">
        <v>167.68</v>
      </c>
      <c r="L214" s="7">
        <v>167.68</v>
      </c>
      <c r="M214" s="7">
        <v>67.53</v>
      </c>
      <c r="N214" s="6">
        <v>129</v>
      </c>
      <c r="O214" s="6">
        <v>30</v>
      </c>
    </row>
    <row r="215" spans="1:15">
      <c r="A215" s="4" t="s">
        <v>305</v>
      </c>
      <c r="B215" s="5">
        <v>45415</v>
      </c>
      <c r="C215" s="4" t="s">
        <v>65</v>
      </c>
      <c r="D215" s="4" t="s">
        <v>66</v>
      </c>
      <c r="E215" s="4" t="s">
        <v>67</v>
      </c>
      <c r="F215" s="4" t="s">
        <v>76</v>
      </c>
      <c r="G215" s="4" t="s">
        <v>68</v>
      </c>
      <c r="H215" s="6">
        <v>14</v>
      </c>
      <c r="I215" s="7">
        <v>13.01</v>
      </c>
      <c r="J215" s="7">
        <v>182.14</v>
      </c>
      <c r="K215" s="7">
        <v>5.34</v>
      </c>
      <c r="L215" s="7">
        <v>74.760000000000005</v>
      </c>
      <c r="M215" s="7">
        <v>107.38</v>
      </c>
      <c r="N215" s="6">
        <v>95</v>
      </c>
      <c r="O215" s="6">
        <v>50</v>
      </c>
    </row>
    <row r="216" spans="1:15">
      <c r="A216" s="4" t="s">
        <v>306</v>
      </c>
      <c r="B216" s="5">
        <v>45492</v>
      </c>
      <c r="C216" s="4" t="s">
        <v>59</v>
      </c>
      <c r="D216" s="4" t="s">
        <v>60</v>
      </c>
      <c r="E216" s="4" t="s">
        <v>61</v>
      </c>
      <c r="F216" s="4" t="s">
        <v>103</v>
      </c>
      <c r="G216" s="4" t="s">
        <v>88</v>
      </c>
      <c r="H216" s="6">
        <v>20</v>
      </c>
      <c r="I216" s="7">
        <v>162.88999999999999</v>
      </c>
      <c r="J216" s="7">
        <v>3257.8</v>
      </c>
      <c r="K216" s="7">
        <v>119.14</v>
      </c>
      <c r="L216" s="7">
        <v>2382.8000000000002</v>
      </c>
      <c r="M216" s="7">
        <v>875</v>
      </c>
      <c r="N216" s="6">
        <v>147</v>
      </c>
      <c r="O216" s="6">
        <v>30</v>
      </c>
    </row>
    <row r="217" spans="1:15">
      <c r="A217" s="4" t="s">
        <v>307</v>
      </c>
      <c r="B217" s="5">
        <v>45373</v>
      </c>
      <c r="C217" s="4" t="s">
        <v>96</v>
      </c>
      <c r="D217" s="4" t="s">
        <v>97</v>
      </c>
      <c r="E217" s="4" t="s">
        <v>67</v>
      </c>
      <c r="F217" s="4" t="s">
        <v>62</v>
      </c>
      <c r="G217" s="4" t="s">
        <v>88</v>
      </c>
      <c r="H217" s="6">
        <v>8</v>
      </c>
      <c r="I217" s="7">
        <v>29.4</v>
      </c>
      <c r="J217" s="7">
        <v>235.2</v>
      </c>
      <c r="K217" s="7">
        <v>21.18</v>
      </c>
      <c r="L217" s="7">
        <v>169.44</v>
      </c>
      <c r="M217" s="7">
        <v>65.760000000000005</v>
      </c>
      <c r="N217" s="6">
        <v>129</v>
      </c>
      <c r="O217" s="6">
        <v>20</v>
      </c>
    </row>
    <row r="218" spans="1:15">
      <c r="A218" s="4" t="s">
        <v>308</v>
      </c>
      <c r="B218" s="5">
        <v>45339</v>
      </c>
      <c r="C218" s="4" t="s">
        <v>90</v>
      </c>
      <c r="D218" s="4" t="s">
        <v>91</v>
      </c>
      <c r="E218" s="4" t="s">
        <v>72</v>
      </c>
      <c r="F218" s="4" t="s">
        <v>62</v>
      </c>
      <c r="G218" s="4" t="s">
        <v>92</v>
      </c>
      <c r="H218" s="6">
        <v>1</v>
      </c>
      <c r="I218" s="7">
        <v>112.17</v>
      </c>
      <c r="J218" s="7">
        <v>1182</v>
      </c>
      <c r="K218" s="7">
        <v>73.09</v>
      </c>
      <c r="L218" s="7">
        <v>73.09</v>
      </c>
      <c r="M218" s="7">
        <v>39.08</v>
      </c>
      <c r="N218" s="6">
        <v>151</v>
      </c>
      <c r="O218" s="6">
        <v>20</v>
      </c>
    </row>
    <row r="219" spans="1:15">
      <c r="A219" s="4" t="s">
        <v>309</v>
      </c>
      <c r="B219" s="5">
        <v>45358</v>
      </c>
      <c r="C219" s="4" t="s">
        <v>78</v>
      </c>
      <c r="D219" s="4" t="s">
        <v>79</v>
      </c>
      <c r="E219" s="4" t="s">
        <v>72</v>
      </c>
      <c r="F219" s="4" t="s">
        <v>119</v>
      </c>
      <c r="G219" s="4" t="s">
        <v>92</v>
      </c>
      <c r="H219" s="6">
        <v>12</v>
      </c>
      <c r="I219" s="7">
        <v>50.71</v>
      </c>
      <c r="J219" s="7">
        <v>608.52</v>
      </c>
      <c r="K219" s="7">
        <v>33.520000000000003</v>
      </c>
      <c r="L219" s="7">
        <v>402.24</v>
      </c>
      <c r="M219" s="7">
        <v>206.28</v>
      </c>
      <c r="N219" s="6">
        <v>56</v>
      </c>
      <c r="O219" s="6">
        <v>30</v>
      </c>
    </row>
    <row r="220" spans="1:15">
      <c r="A220" s="4" t="s">
        <v>310</v>
      </c>
      <c r="B220" s="5">
        <v>45425</v>
      </c>
      <c r="C220" s="4" t="s">
        <v>65</v>
      </c>
      <c r="D220" s="4" t="s">
        <v>66</v>
      </c>
      <c r="E220" s="4" t="s">
        <v>67</v>
      </c>
      <c r="F220" s="4" t="s">
        <v>106</v>
      </c>
      <c r="G220" s="4" t="s">
        <v>63</v>
      </c>
      <c r="H220" s="6">
        <v>9</v>
      </c>
      <c r="I220" s="7">
        <v>25.33</v>
      </c>
      <c r="J220" s="7">
        <v>227.97</v>
      </c>
      <c r="K220" s="7">
        <v>11.59</v>
      </c>
      <c r="L220" s="7">
        <v>104.31</v>
      </c>
      <c r="M220" s="7">
        <v>123.66</v>
      </c>
      <c r="N220" s="6">
        <v>5</v>
      </c>
      <c r="O220" s="6">
        <v>50</v>
      </c>
    </row>
    <row r="221" spans="1:15">
      <c r="A221" s="4" t="s">
        <v>311</v>
      </c>
      <c r="B221" s="5">
        <v>45384</v>
      </c>
      <c r="C221" s="4" t="s">
        <v>90</v>
      </c>
      <c r="D221" s="4" t="s">
        <v>91</v>
      </c>
      <c r="E221" s="4" t="s">
        <v>72</v>
      </c>
      <c r="F221" s="4" t="s">
        <v>106</v>
      </c>
      <c r="G221" s="4" t="s">
        <v>99</v>
      </c>
      <c r="H221" s="6">
        <v>3</v>
      </c>
      <c r="I221" s="7">
        <v>126.09</v>
      </c>
      <c r="J221" s="7">
        <v>378.27</v>
      </c>
      <c r="K221" s="7">
        <v>68.66</v>
      </c>
      <c r="L221" s="7">
        <v>205.98</v>
      </c>
      <c r="M221" s="7">
        <v>172.29</v>
      </c>
      <c r="N221" s="6">
        <v>53</v>
      </c>
      <c r="O221" s="6">
        <v>30</v>
      </c>
    </row>
    <row r="222" spans="1:15">
      <c r="A222" s="4" t="s">
        <v>312</v>
      </c>
      <c r="B222" s="5">
        <v>45399</v>
      </c>
      <c r="C222" s="4" t="s">
        <v>96</v>
      </c>
      <c r="D222" s="4" t="s">
        <v>97</v>
      </c>
      <c r="E222" s="4" t="s">
        <v>67</v>
      </c>
      <c r="F222" s="4" t="s">
        <v>62</v>
      </c>
      <c r="G222" s="4" t="s">
        <v>68</v>
      </c>
      <c r="H222" s="6">
        <v>13</v>
      </c>
      <c r="I222" s="7">
        <v>222.98</v>
      </c>
      <c r="J222" s="7">
        <v>2898.74</v>
      </c>
      <c r="K222" s="7">
        <v>145.69999999999999</v>
      </c>
      <c r="L222" s="7">
        <v>1894.1</v>
      </c>
      <c r="M222" s="7">
        <v>1004.64</v>
      </c>
      <c r="N222" s="6">
        <v>115</v>
      </c>
      <c r="O222" s="6">
        <v>20</v>
      </c>
    </row>
    <row r="223" spans="1:15">
      <c r="A223" s="4" t="s">
        <v>313</v>
      </c>
      <c r="B223" s="5">
        <v>45308</v>
      </c>
      <c r="C223" s="4" t="s">
        <v>90</v>
      </c>
      <c r="D223" s="4" t="s">
        <v>91</v>
      </c>
      <c r="E223" s="4" t="s">
        <v>72</v>
      </c>
      <c r="F223" s="4" t="s">
        <v>62</v>
      </c>
      <c r="G223" s="4" t="s">
        <v>74</v>
      </c>
      <c r="H223" s="6">
        <v>11</v>
      </c>
      <c r="I223" s="7">
        <v>248.47</v>
      </c>
      <c r="J223" s="7">
        <v>2733.17</v>
      </c>
      <c r="K223" s="7">
        <v>147.47999999999999</v>
      </c>
      <c r="L223" s="7">
        <v>1622.28</v>
      </c>
      <c r="M223" s="7">
        <v>1110.8900000000001</v>
      </c>
      <c r="N223" s="6">
        <v>157</v>
      </c>
      <c r="O223" s="6">
        <v>50</v>
      </c>
    </row>
    <row r="224" spans="1:15">
      <c r="A224" s="4" t="s">
        <v>314</v>
      </c>
      <c r="B224" s="5">
        <v>45566</v>
      </c>
      <c r="C224" s="4" t="s">
        <v>65</v>
      </c>
      <c r="D224" s="4" t="s">
        <v>66</v>
      </c>
      <c r="E224" s="4" t="s">
        <v>67</v>
      </c>
      <c r="F224" s="4" t="s">
        <v>119</v>
      </c>
      <c r="G224" s="4" t="s">
        <v>63</v>
      </c>
      <c r="H224" s="6">
        <v>17</v>
      </c>
      <c r="I224" s="7">
        <v>130.38</v>
      </c>
      <c r="J224" s="7">
        <v>2216.46</v>
      </c>
      <c r="K224" s="7">
        <v>60.1</v>
      </c>
      <c r="L224" s="7">
        <v>1021.7</v>
      </c>
      <c r="M224" s="7">
        <v>1194.76</v>
      </c>
      <c r="N224" s="6">
        <v>93</v>
      </c>
      <c r="O224" s="6">
        <v>20</v>
      </c>
    </row>
    <row r="225" spans="1:15">
      <c r="A225" s="4" t="s">
        <v>315</v>
      </c>
      <c r="B225" s="5">
        <v>45429</v>
      </c>
      <c r="C225" s="4" t="s">
        <v>70</v>
      </c>
      <c r="D225" s="4" t="s">
        <v>71</v>
      </c>
      <c r="E225" s="4" t="s">
        <v>72</v>
      </c>
      <c r="F225" s="4" t="s">
        <v>82</v>
      </c>
      <c r="G225" s="4" t="s">
        <v>99</v>
      </c>
      <c r="H225" s="6">
        <v>16</v>
      </c>
      <c r="I225" s="7">
        <v>53.81</v>
      </c>
      <c r="J225" s="7">
        <v>860.96</v>
      </c>
      <c r="K225" s="7">
        <v>23.5</v>
      </c>
      <c r="L225" s="7">
        <v>376</v>
      </c>
      <c r="M225" s="7">
        <v>484.96</v>
      </c>
      <c r="N225" s="6">
        <v>181</v>
      </c>
      <c r="O225" s="6">
        <v>50</v>
      </c>
    </row>
    <row r="226" spans="1:15">
      <c r="A226" s="4" t="s">
        <v>316</v>
      </c>
      <c r="B226" s="5">
        <v>45390</v>
      </c>
      <c r="C226" s="4" t="s">
        <v>70</v>
      </c>
      <c r="D226" s="4" t="s">
        <v>71</v>
      </c>
      <c r="E226" s="4" t="s">
        <v>72</v>
      </c>
      <c r="F226" s="4" t="s">
        <v>62</v>
      </c>
      <c r="G226" s="4" t="s">
        <v>63</v>
      </c>
      <c r="H226" s="6">
        <v>6</v>
      </c>
      <c r="I226" s="7">
        <v>53.48</v>
      </c>
      <c r="J226" s="7">
        <v>320.88</v>
      </c>
      <c r="K226" s="7">
        <v>39.49</v>
      </c>
      <c r="L226" s="7">
        <v>236.94</v>
      </c>
      <c r="M226" s="7">
        <v>83.94</v>
      </c>
      <c r="N226" s="6">
        <v>183</v>
      </c>
      <c r="O226" s="6">
        <v>30</v>
      </c>
    </row>
    <row r="227" spans="1:15">
      <c r="A227" s="4" t="s">
        <v>317</v>
      </c>
      <c r="B227" s="5">
        <v>45541</v>
      </c>
      <c r="C227" s="4" t="s">
        <v>96</v>
      </c>
      <c r="D227" s="4" t="s">
        <v>97</v>
      </c>
      <c r="E227" s="4" t="s">
        <v>67</v>
      </c>
      <c r="F227" s="4" t="s">
        <v>106</v>
      </c>
      <c r="G227" s="4" t="s">
        <v>92</v>
      </c>
      <c r="H227" s="6">
        <v>15</v>
      </c>
      <c r="I227" s="7">
        <v>108.82</v>
      </c>
      <c r="J227" s="7">
        <v>1632.3</v>
      </c>
      <c r="K227" s="7">
        <v>76.05</v>
      </c>
      <c r="L227" s="7">
        <v>1140.75</v>
      </c>
      <c r="M227" s="7">
        <v>491.55</v>
      </c>
      <c r="N227" s="6">
        <v>81</v>
      </c>
      <c r="O227" s="6">
        <v>50</v>
      </c>
    </row>
    <row r="228" spans="1:15">
      <c r="A228" s="4" t="s">
        <v>318</v>
      </c>
      <c r="B228" s="5">
        <v>45324</v>
      </c>
      <c r="C228" s="4" t="s">
        <v>78</v>
      </c>
      <c r="D228" s="4" t="s">
        <v>79</v>
      </c>
      <c r="E228" s="4" t="s">
        <v>72</v>
      </c>
      <c r="F228" s="4" t="s">
        <v>62</v>
      </c>
      <c r="G228" s="4" t="s">
        <v>68</v>
      </c>
      <c r="H228" s="6">
        <v>6</v>
      </c>
      <c r="I228" s="7">
        <v>222.92</v>
      </c>
      <c r="J228" s="7">
        <v>1337.52</v>
      </c>
      <c r="K228" s="7">
        <v>174.6</v>
      </c>
      <c r="L228" s="7">
        <v>1047.5999999999999</v>
      </c>
      <c r="M228" s="7">
        <v>289.92</v>
      </c>
      <c r="N228" s="6">
        <v>64</v>
      </c>
      <c r="O228" s="6">
        <v>50</v>
      </c>
    </row>
    <row r="229" spans="1:15">
      <c r="A229" s="4" t="s">
        <v>319</v>
      </c>
      <c r="B229" s="5">
        <v>45495</v>
      </c>
      <c r="C229" s="4" t="s">
        <v>65</v>
      </c>
      <c r="D229" s="4" t="s">
        <v>66</v>
      </c>
      <c r="E229" s="4" t="s">
        <v>67</v>
      </c>
      <c r="F229" s="4" t="s">
        <v>119</v>
      </c>
      <c r="G229" s="4" t="s">
        <v>63</v>
      </c>
      <c r="H229" s="6">
        <v>4</v>
      </c>
      <c r="I229" s="7">
        <v>49.08</v>
      </c>
      <c r="J229" s="7">
        <v>196.32</v>
      </c>
      <c r="K229" s="7">
        <v>25.97</v>
      </c>
      <c r="L229" s="7">
        <v>103.88</v>
      </c>
      <c r="M229" s="7">
        <v>92.44</v>
      </c>
      <c r="N229" s="6">
        <v>47</v>
      </c>
      <c r="O229" s="6">
        <v>30</v>
      </c>
    </row>
    <row r="230" spans="1:15">
      <c r="A230" s="4" t="s">
        <v>320</v>
      </c>
      <c r="B230" s="5">
        <v>45296</v>
      </c>
      <c r="C230" s="4" t="s">
        <v>84</v>
      </c>
      <c r="D230" s="4" t="s">
        <v>85</v>
      </c>
      <c r="E230" s="4" t="s">
        <v>86</v>
      </c>
      <c r="F230" s="4" t="s">
        <v>62</v>
      </c>
      <c r="G230" s="4" t="s">
        <v>92</v>
      </c>
      <c r="H230" s="6">
        <v>1</v>
      </c>
      <c r="I230" s="7">
        <v>180.62</v>
      </c>
      <c r="J230" s="7">
        <v>180.62</v>
      </c>
      <c r="K230" s="7">
        <v>87.69</v>
      </c>
      <c r="L230" s="7">
        <v>87.69</v>
      </c>
      <c r="M230" s="7">
        <v>92.93</v>
      </c>
      <c r="N230" s="6">
        <v>145</v>
      </c>
      <c r="O230" s="6">
        <v>30</v>
      </c>
    </row>
    <row r="231" spans="1:15">
      <c r="A231" s="4" t="s">
        <v>321</v>
      </c>
      <c r="B231" s="5">
        <v>45579</v>
      </c>
      <c r="C231" s="4" t="s">
        <v>70</v>
      </c>
      <c r="D231" s="4" t="s">
        <v>71</v>
      </c>
      <c r="E231" s="4" t="s">
        <v>72</v>
      </c>
      <c r="F231" s="4" t="s">
        <v>62</v>
      </c>
      <c r="G231" s="4" t="s">
        <v>88</v>
      </c>
      <c r="H231" s="6">
        <v>20</v>
      </c>
      <c r="I231" s="7">
        <v>236.84</v>
      </c>
      <c r="J231" s="7">
        <v>4736.8</v>
      </c>
      <c r="K231" s="7">
        <v>171.23</v>
      </c>
      <c r="L231" s="7">
        <v>3424.6</v>
      </c>
      <c r="M231" s="7">
        <v>1312.2</v>
      </c>
      <c r="N231" s="6">
        <v>171</v>
      </c>
      <c r="O231" s="6">
        <v>20</v>
      </c>
    </row>
    <row r="232" spans="1:15">
      <c r="A232" s="4" t="s">
        <v>322</v>
      </c>
      <c r="B232" s="5">
        <v>45544</v>
      </c>
      <c r="C232" s="4" t="s">
        <v>78</v>
      </c>
      <c r="D232" s="4" t="s">
        <v>79</v>
      </c>
      <c r="E232" s="4" t="s">
        <v>72</v>
      </c>
      <c r="F232" s="4" t="s">
        <v>103</v>
      </c>
      <c r="G232" s="4" t="s">
        <v>92</v>
      </c>
      <c r="H232" s="6">
        <v>2</v>
      </c>
      <c r="I232" s="7">
        <v>247.61</v>
      </c>
      <c r="J232" s="7">
        <v>495.22</v>
      </c>
      <c r="K232" s="7">
        <v>140.77000000000001</v>
      </c>
      <c r="L232" s="7">
        <v>281.54000000000002</v>
      </c>
      <c r="M232" s="7">
        <v>213.68</v>
      </c>
      <c r="N232" s="6">
        <v>31</v>
      </c>
      <c r="O232" s="6">
        <v>30</v>
      </c>
    </row>
    <row r="233" spans="1:15">
      <c r="A233" s="4" t="s">
        <v>323</v>
      </c>
      <c r="B233" s="5">
        <v>45621</v>
      </c>
      <c r="C233" s="4" t="s">
        <v>65</v>
      </c>
      <c r="D233" s="4" t="s">
        <v>66</v>
      </c>
      <c r="E233" s="4" t="s">
        <v>67</v>
      </c>
      <c r="F233" s="4" t="s">
        <v>62</v>
      </c>
      <c r="G233" s="4" t="s">
        <v>88</v>
      </c>
      <c r="H233" s="6">
        <v>15</v>
      </c>
      <c r="I233" s="7">
        <v>74.67</v>
      </c>
      <c r="J233" s="7">
        <v>1182</v>
      </c>
      <c r="K233" s="7">
        <v>55.01</v>
      </c>
      <c r="L233" s="7">
        <v>825.15</v>
      </c>
      <c r="M233" s="7">
        <v>294.89999999999998</v>
      </c>
      <c r="N233" s="6">
        <v>103</v>
      </c>
      <c r="O233" s="6">
        <v>20</v>
      </c>
    </row>
    <row r="234" spans="1:15">
      <c r="A234" s="4" t="s">
        <v>324</v>
      </c>
      <c r="B234" s="5">
        <v>45446</v>
      </c>
      <c r="C234" s="4" t="s">
        <v>70</v>
      </c>
      <c r="D234" s="4" t="s">
        <v>71</v>
      </c>
      <c r="E234" s="4" t="s">
        <v>72</v>
      </c>
      <c r="F234" s="4" t="s">
        <v>62</v>
      </c>
      <c r="G234" s="4" t="s">
        <v>92</v>
      </c>
      <c r="H234" s="6">
        <v>11</v>
      </c>
      <c r="I234" s="7">
        <v>189.65</v>
      </c>
      <c r="J234" s="7">
        <v>2086.15</v>
      </c>
      <c r="K234" s="7">
        <v>106.23</v>
      </c>
      <c r="L234" s="7">
        <v>1168.53</v>
      </c>
      <c r="M234" s="7">
        <v>917.62</v>
      </c>
      <c r="N234" s="6">
        <v>142</v>
      </c>
      <c r="O234" s="6">
        <v>30</v>
      </c>
    </row>
    <row r="235" spans="1:15">
      <c r="A235" s="4" t="s">
        <v>325</v>
      </c>
      <c r="B235" s="5">
        <v>45620</v>
      </c>
      <c r="C235" s="4" t="s">
        <v>90</v>
      </c>
      <c r="D235" s="4" t="s">
        <v>91</v>
      </c>
      <c r="E235" s="4" t="s">
        <v>72</v>
      </c>
      <c r="F235" s="4" t="s">
        <v>62</v>
      </c>
      <c r="G235" s="4" t="s">
        <v>74</v>
      </c>
      <c r="H235" s="6">
        <v>12</v>
      </c>
      <c r="I235" s="7">
        <v>234.74</v>
      </c>
      <c r="J235" s="7">
        <v>2816.88</v>
      </c>
      <c r="K235" s="7">
        <v>103.54</v>
      </c>
      <c r="L235" s="7">
        <v>1242.48</v>
      </c>
      <c r="M235" s="7">
        <v>1574.4</v>
      </c>
      <c r="N235" s="6">
        <v>57</v>
      </c>
      <c r="O235" s="6">
        <v>20</v>
      </c>
    </row>
    <row r="236" spans="1:15">
      <c r="A236" s="4" t="s">
        <v>326</v>
      </c>
      <c r="B236" s="5">
        <v>45379</v>
      </c>
      <c r="C236" s="4" t="s">
        <v>90</v>
      </c>
      <c r="D236" s="4" t="s">
        <v>91</v>
      </c>
      <c r="E236" s="4" t="s">
        <v>72</v>
      </c>
      <c r="F236" s="4" t="s">
        <v>62</v>
      </c>
      <c r="G236" s="4" t="s">
        <v>88</v>
      </c>
      <c r="H236" s="6">
        <v>7</v>
      </c>
      <c r="I236" s="7">
        <v>182.41</v>
      </c>
      <c r="J236" s="7">
        <v>1182</v>
      </c>
      <c r="K236" s="7">
        <v>132.22999999999999</v>
      </c>
      <c r="L236" s="7">
        <v>925.61</v>
      </c>
      <c r="M236" s="7">
        <v>351.26</v>
      </c>
      <c r="N236" s="6">
        <v>137</v>
      </c>
      <c r="O236" s="6">
        <v>20</v>
      </c>
    </row>
    <row r="237" spans="1:15">
      <c r="A237" s="4" t="s">
        <v>327</v>
      </c>
      <c r="B237" s="5">
        <v>45427</v>
      </c>
      <c r="C237" s="4" t="s">
        <v>84</v>
      </c>
      <c r="D237" s="4" t="s">
        <v>85</v>
      </c>
      <c r="E237" s="4" t="s">
        <v>86</v>
      </c>
      <c r="F237" s="4" t="s">
        <v>103</v>
      </c>
      <c r="G237" s="4" t="s">
        <v>92</v>
      </c>
      <c r="H237" s="6">
        <v>20</v>
      </c>
      <c r="I237" s="7">
        <v>198.95</v>
      </c>
      <c r="J237" s="7">
        <v>3979</v>
      </c>
      <c r="K237" s="7">
        <v>109.79</v>
      </c>
      <c r="L237" s="7">
        <v>2195.8000000000002</v>
      </c>
      <c r="M237" s="7">
        <v>1783.2</v>
      </c>
      <c r="N237" s="6">
        <v>178</v>
      </c>
      <c r="O237" s="6">
        <v>20</v>
      </c>
    </row>
    <row r="238" spans="1:15">
      <c r="A238" s="4" t="s">
        <v>328</v>
      </c>
      <c r="B238" s="5">
        <v>45503</v>
      </c>
      <c r="C238" s="4" t="s">
        <v>78</v>
      </c>
      <c r="D238" s="4" t="s">
        <v>79</v>
      </c>
      <c r="E238" s="4" t="s">
        <v>72</v>
      </c>
      <c r="F238" s="4" t="s">
        <v>82</v>
      </c>
      <c r="G238" s="4" t="s">
        <v>68</v>
      </c>
      <c r="H238" s="6">
        <v>4</v>
      </c>
      <c r="I238" s="7">
        <v>132.83000000000001</v>
      </c>
      <c r="J238" s="7">
        <v>531.32000000000005</v>
      </c>
      <c r="K238" s="7">
        <v>65.91</v>
      </c>
      <c r="L238" s="7">
        <v>263.64</v>
      </c>
      <c r="M238" s="7">
        <v>267.68</v>
      </c>
      <c r="N238" s="6">
        <v>122</v>
      </c>
      <c r="O238" s="6">
        <v>50</v>
      </c>
    </row>
    <row r="239" spans="1:15">
      <c r="A239" s="4" t="s">
        <v>329</v>
      </c>
      <c r="B239" s="5">
        <v>45443</v>
      </c>
      <c r="C239" s="4" t="s">
        <v>90</v>
      </c>
      <c r="D239" s="4" t="s">
        <v>91</v>
      </c>
      <c r="E239" s="4" t="s">
        <v>72</v>
      </c>
      <c r="F239" s="4" t="s">
        <v>62</v>
      </c>
      <c r="G239" s="4" t="s">
        <v>88</v>
      </c>
      <c r="H239" s="6">
        <v>12</v>
      </c>
      <c r="I239" s="7">
        <v>141.84</v>
      </c>
      <c r="J239" s="7">
        <v>1182</v>
      </c>
      <c r="K239" s="7">
        <v>71.95</v>
      </c>
      <c r="L239" s="7">
        <v>1275.1199999999999</v>
      </c>
      <c r="M239" s="7">
        <v>426.96</v>
      </c>
      <c r="N239" s="6">
        <v>168</v>
      </c>
      <c r="O239" s="6">
        <v>50</v>
      </c>
    </row>
    <row r="240" spans="1:15">
      <c r="A240" s="4" t="s">
        <v>330</v>
      </c>
      <c r="B240" s="5">
        <v>45402</v>
      </c>
      <c r="C240" s="4" t="s">
        <v>78</v>
      </c>
      <c r="D240" s="4" t="s">
        <v>79</v>
      </c>
      <c r="E240" s="4" t="s">
        <v>72</v>
      </c>
      <c r="F240" s="4" t="s">
        <v>76</v>
      </c>
      <c r="G240" s="4" t="s">
        <v>68</v>
      </c>
      <c r="H240" s="6">
        <v>13</v>
      </c>
      <c r="I240" s="7">
        <v>51.04</v>
      </c>
      <c r="J240" s="7">
        <v>663.52</v>
      </c>
      <c r="K240" s="7">
        <v>22.55</v>
      </c>
      <c r="L240" s="7">
        <v>293.14999999999998</v>
      </c>
      <c r="M240" s="7">
        <v>370.37</v>
      </c>
      <c r="N240" s="6">
        <v>53</v>
      </c>
      <c r="O240" s="6">
        <v>50</v>
      </c>
    </row>
    <row r="241" spans="1:15">
      <c r="A241" s="4" t="s">
        <v>331</v>
      </c>
      <c r="B241" s="5">
        <v>45358</v>
      </c>
      <c r="C241" s="4" t="s">
        <v>59</v>
      </c>
      <c r="D241" s="4" t="s">
        <v>60</v>
      </c>
      <c r="E241" s="4" t="s">
        <v>61</v>
      </c>
      <c r="F241" s="4" t="s">
        <v>119</v>
      </c>
      <c r="G241" s="4" t="s">
        <v>99</v>
      </c>
      <c r="H241" s="6">
        <v>12</v>
      </c>
      <c r="I241" s="7">
        <v>99.47</v>
      </c>
      <c r="J241" s="7">
        <v>1193.6400000000001</v>
      </c>
      <c r="K241" s="7">
        <v>57.79</v>
      </c>
      <c r="L241" s="7">
        <v>693.48</v>
      </c>
      <c r="M241" s="7">
        <v>500.16</v>
      </c>
      <c r="N241" s="6">
        <v>158</v>
      </c>
      <c r="O241" s="6">
        <v>50</v>
      </c>
    </row>
    <row r="242" spans="1:15">
      <c r="A242" s="4" t="s">
        <v>332</v>
      </c>
      <c r="B242" s="5">
        <v>45587</v>
      </c>
      <c r="C242" s="4" t="s">
        <v>90</v>
      </c>
      <c r="D242" s="4" t="s">
        <v>91</v>
      </c>
      <c r="E242" s="4" t="s">
        <v>72</v>
      </c>
      <c r="F242" s="4" t="s">
        <v>62</v>
      </c>
      <c r="G242" s="4" t="s">
        <v>88</v>
      </c>
      <c r="H242" s="6">
        <v>5</v>
      </c>
      <c r="I242" s="7">
        <v>117.93</v>
      </c>
      <c r="J242" s="7">
        <v>589.65</v>
      </c>
      <c r="K242" s="7">
        <v>52.23</v>
      </c>
      <c r="L242" s="7">
        <v>261.14999999999998</v>
      </c>
      <c r="M242" s="7">
        <v>328.5</v>
      </c>
      <c r="N242" s="6">
        <v>28</v>
      </c>
      <c r="O242" s="6">
        <v>20</v>
      </c>
    </row>
    <row r="243" spans="1:15">
      <c r="A243" s="4" t="s">
        <v>333</v>
      </c>
      <c r="B243" s="5">
        <v>45427</v>
      </c>
      <c r="C243" s="4" t="s">
        <v>90</v>
      </c>
      <c r="D243" s="4" t="s">
        <v>91</v>
      </c>
      <c r="E243" s="4" t="s">
        <v>72</v>
      </c>
      <c r="F243" s="4" t="s">
        <v>62</v>
      </c>
      <c r="G243" s="4" t="s">
        <v>92</v>
      </c>
      <c r="H243" s="6">
        <v>18</v>
      </c>
      <c r="I243" s="7">
        <v>25.6</v>
      </c>
      <c r="J243" s="7">
        <v>460.8</v>
      </c>
      <c r="K243" s="7">
        <v>71.95</v>
      </c>
      <c r="L243" s="7">
        <v>263.88</v>
      </c>
      <c r="M243" s="7">
        <v>196.92</v>
      </c>
      <c r="N243" s="6">
        <v>38</v>
      </c>
      <c r="O243" s="6">
        <v>30</v>
      </c>
    </row>
    <row r="244" spans="1:15">
      <c r="A244" s="4" t="s">
        <v>334</v>
      </c>
      <c r="B244" s="5">
        <v>45487</v>
      </c>
      <c r="C244" s="4" t="s">
        <v>96</v>
      </c>
      <c r="D244" s="4" t="s">
        <v>97</v>
      </c>
      <c r="E244" s="4" t="s">
        <v>67</v>
      </c>
      <c r="F244" s="4" t="s">
        <v>82</v>
      </c>
      <c r="G244" s="4" t="s">
        <v>92</v>
      </c>
      <c r="H244" s="6">
        <v>7</v>
      </c>
      <c r="I244" s="7">
        <v>77.03</v>
      </c>
      <c r="J244" s="7">
        <v>539.21</v>
      </c>
      <c r="K244" s="7">
        <v>43.22</v>
      </c>
      <c r="L244" s="7">
        <v>302.54000000000002</v>
      </c>
      <c r="M244" s="7">
        <v>236.67</v>
      </c>
      <c r="N244" s="6">
        <v>152</v>
      </c>
      <c r="O244" s="6">
        <v>30</v>
      </c>
    </row>
    <row r="245" spans="1:15">
      <c r="A245" s="4" t="s">
        <v>335</v>
      </c>
      <c r="B245" s="5">
        <v>45404</v>
      </c>
      <c r="C245" s="4" t="s">
        <v>90</v>
      </c>
      <c r="D245" s="4" t="s">
        <v>91</v>
      </c>
      <c r="E245" s="4" t="s">
        <v>72</v>
      </c>
      <c r="F245" s="4" t="s">
        <v>106</v>
      </c>
      <c r="G245" s="4" t="s">
        <v>68</v>
      </c>
      <c r="H245" s="6">
        <v>2</v>
      </c>
      <c r="I245" s="7">
        <v>224.29</v>
      </c>
      <c r="J245" s="7">
        <v>448.58</v>
      </c>
      <c r="K245" s="7">
        <v>141.32</v>
      </c>
      <c r="L245" s="7">
        <v>282.64</v>
      </c>
      <c r="M245" s="7">
        <v>165.94</v>
      </c>
      <c r="N245" s="6">
        <v>61</v>
      </c>
      <c r="O245" s="6">
        <v>20</v>
      </c>
    </row>
    <row r="246" spans="1:15">
      <c r="A246" s="4" t="s">
        <v>336</v>
      </c>
      <c r="B246" s="5">
        <v>45343</v>
      </c>
      <c r="C246" s="4" t="s">
        <v>59</v>
      </c>
      <c r="D246" s="4" t="s">
        <v>60</v>
      </c>
      <c r="E246" s="4" t="s">
        <v>61</v>
      </c>
      <c r="F246" s="4" t="s">
        <v>82</v>
      </c>
      <c r="G246" s="4" t="s">
        <v>88</v>
      </c>
      <c r="H246" s="6">
        <v>9</v>
      </c>
      <c r="I246" s="7">
        <v>126.32</v>
      </c>
      <c r="J246" s="7">
        <v>1182</v>
      </c>
      <c r="K246" s="7">
        <v>59.17</v>
      </c>
      <c r="L246" s="7">
        <v>532.53</v>
      </c>
      <c r="M246" s="7">
        <v>604.35</v>
      </c>
      <c r="N246" s="6">
        <v>52</v>
      </c>
      <c r="O246" s="6">
        <v>30</v>
      </c>
    </row>
    <row r="247" spans="1:15">
      <c r="A247" s="4" t="s">
        <v>337</v>
      </c>
      <c r="B247" s="5">
        <v>45610</v>
      </c>
      <c r="C247" s="4" t="s">
        <v>78</v>
      </c>
      <c r="D247" s="4" t="s">
        <v>79</v>
      </c>
      <c r="E247" s="4" t="s">
        <v>72</v>
      </c>
      <c r="F247" s="4" t="s">
        <v>106</v>
      </c>
      <c r="G247" s="4" t="s">
        <v>74</v>
      </c>
      <c r="H247" s="6">
        <v>10</v>
      </c>
      <c r="I247" s="7">
        <v>213.88</v>
      </c>
      <c r="J247" s="7">
        <v>2138.8000000000002</v>
      </c>
      <c r="K247" s="7">
        <v>71.95</v>
      </c>
      <c r="L247" s="7">
        <v>1444.1</v>
      </c>
      <c r="M247" s="7">
        <v>694.7</v>
      </c>
      <c r="N247" s="6">
        <v>43</v>
      </c>
      <c r="O247" s="6">
        <v>30</v>
      </c>
    </row>
    <row r="248" spans="1:15">
      <c r="A248" s="4" t="s">
        <v>338</v>
      </c>
      <c r="B248" s="5">
        <v>45534</v>
      </c>
      <c r="C248" s="4" t="s">
        <v>96</v>
      </c>
      <c r="D248" s="4" t="s">
        <v>97</v>
      </c>
      <c r="E248" s="4" t="s">
        <v>67</v>
      </c>
      <c r="F248" s="4" t="s">
        <v>62</v>
      </c>
      <c r="G248" s="4" t="s">
        <v>92</v>
      </c>
      <c r="H248" s="6">
        <v>11</v>
      </c>
      <c r="I248" s="7">
        <v>10.1</v>
      </c>
      <c r="J248" s="7">
        <v>1182</v>
      </c>
      <c r="K248" s="7">
        <v>7.98</v>
      </c>
      <c r="L248" s="7">
        <v>87.78</v>
      </c>
      <c r="M248" s="7">
        <v>23.32</v>
      </c>
      <c r="N248" s="6">
        <v>19</v>
      </c>
      <c r="O248" s="6">
        <v>20</v>
      </c>
    </row>
    <row r="249" spans="1:15">
      <c r="A249" s="4" t="s">
        <v>339</v>
      </c>
      <c r="B249" s="5">
        <v>45533</v>
      </c>
      <c r="C249" s="4" t="s">
        <v>90</v>
      </c>
      <c r="D249" s="4" t="s">
        <v>91</v>
      </c>
      <c r="E249" s="4" t="s">
        <v>72</v>
      </c>
      <c r="F249" s="4" t="s">
        <v>103</v>
      </c>
      <c r="G249" s="4" t="s">
        <v>88</v>
      </c>
      <c r="H249" s="6">
        <v>2</v>
      </c>
      <c r="I249" s="7">
        <v>205.64</v>
      </c>
      <c r="J249" s="7">
        <v>411.28</v>
      </c>
      <c r="K249" s="7">
        <v>128.91999999999999</v>
      </c>
      <c r="L249" s="7">
        <v>257.83999999999997</v>
      </c>
      <c r="M249" s="7">
        <v>153.44</v>
      </c>
      <c r="N249" s="6">
        <v>74</v>
      </c>
      <c r="O249" s="6">
        <v>20</v>
      </c>
    </row>
    <row r="250" spans="1:15">
      <c r="A250" s="4" t="s">
        <v>340</v>
      </c>
      <c r="B250" s="5">
        <v>45543</v>
      </c>
      <c r="C250" s="4" t="s">
        <v>84</v>
      </c>
      <c r="D250" s="4" t="s">
        <v>85</v>
      </c>
      <c r="E250" s="4" t="s">
        <v>86</v>
      </c>
      <c r="F250" s="4" t="s">
        <v>62</v>
      </c>
      <c r="G250" s="4" t="s">
        <v>68</v>
      </c>
      <c r="H250" s="6">
        <v>18</v>
      </c>
      <c r="I250" s="7">
        <v>68.05</v>
      </c>
      <c r="J250" s="7">
        <v>1224.9000000000001</v>
      </c>
      <c r="K250" s="7">
        <v>40.46</v>
      </c>
      <c r="L250" s="7">
        <v>728.28</v>
      </c>
      <c r="M250" s="7">
        <v>496.62</v>
      </c>
      <c r="N250" s="6">
        <v>93</v>
      </c>
      <c r="O250" s="6">
        <v>30</v>
      </c>
    </row>
    <row r="251" spans="1:15">
      <c r="A251" s="4" t="s">
        <v>341</v>
      </c>
      <c r="B251" s="5">
        <v>45597</v>
      </c>
      <c r="C251" s="4" t="s">
        <v>78</v>
      </c>
      <c r="D251" s="4" t="s">
        <v>79</v>
      </c>
      <c r="E251" s="4" t="s">
        <v>72</v>
      </c>
      <c r="F251" s="4" t="s">
        <v>103</v>
      </c>
      <c r="G251" s="4" t="s">
        <v>99</v>
      </c>
      <c r="H251" s="6">
        <v>4</v>
      </c>
      <c r="I251" s="7">
        <v>71.13</v>
      </c>
      <c r="J251" s="7">
        <v>284.52</v>
      </c>
      <c r="K251" s="7">
        <v>43.23</v>
      </c>
      <c r="L251" s="7">
        <v>172.92</v>
      </c>
      <c r="M251" s="7">
        <v>111.6</v>
      </c>
      <c r="N251" s="6">
        <v>163</v>
      </c>
      <c r="O251" s="6">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51"/>
  <sheetViews>
    <sheetView tabSelected="1" workbookViewId="0">
      <selection activeCell="F1" sqref="F1:F1048576"/>
    </sheetView>
  </sheetViews>
  <sheetFormatPr defaultColWidth="9" defaultRowHeight="15"/>
  <cols>
    <col min="1" max="1" width="10.7109375" customWidth="1"/>
    <col min="2" max="2" width="14.85546875" customWidth="1"/>
    <col min="3" max="3" width="12.42578125" customWidth="1"/>
    <col min="4" max="4" width="17.7109375" customWidth="1"/>
    <col min="5" max="5" width="12.140625" customWidth="1"/>
    <col min="6" max="6" width="13.140625" customWidth="1"/>
    <col min="7" max="7" width="17.7109375" customWidth="1"/>
    <col min="8" max="8" width="15.42578125" customWidth="1"/>
    <col min="9" max="9" width="12" customWidth="1"/>
    <col min="10" max="10" width="12.7109375" customWidth="1"/>
    <col min="11" max="11" width="14.85546875" customWidth="1"/>
    <col min="12" max="12" width="12" customWidth="1"/>
    <col min="13" max="13" width="9.5703125" customWidth="1"/>
    <col min="14" max="14" width="22" customWidth="1"/>
    <col min="15" max="15" width="15.7109375" customWidth="1"/>
    <col min="16" max="16" width="7.28515625" style="6" customWidth="1"/>
    <col min="17" max="17" width="15" style="4" customWidth="1"/>
    <col min="18" max="18" width="10.140625" style="6" customWidth="1"/>
    <col min="19" max="19" width="17.28515625" customWidth="1"/>
  </cols>
  <sheetData>
    <row r="1" spans="1:19">
      <c r="A1" t="s">
        <v>43</v>
      </c>
      <c r="B1" t="s">
        <v>44</v>
      </c>
      <c r="C1" t="s">
        <v>45</v>
      </c>
      <c r="D1" t="s">
        <v>46</v>
      </c>
      <c r="E1" t="s">
        <v>47</v>
      </c>
      <c r="F1" t="s">
        <v>48</v>
      </c>
      <c r="G1" t="s">
        <v>49</v>
      </c>
      <c r="H1" t="s">
        <v>50</v>
      </c>
      <c r="I1" t="s">
        <v>51</v>
      </c>
      <c r="J1" t="s">
        <v>52</v>
      </c>
      <c r="K1" t="s">
        <v>53</v>
      </c>
      <c r="L1" t="s">
        <v>54</v>
      </c>
      <c r="M1" t="s">
        <v>55</v>
      </c>
      <c r="N1" t="s">
        <v>56</v>
      </c>
      <c r="O1" t="s">
        <v>57</v>
      </c>
      <c r="P1" s="6" t="s">
        <v>342</v>
      </c>
      <c r="Q1" s="4" t="s">
        <v>343</v>
      </c>
      <c r="R1" s="6" t="s">
        <v>344</v>
      </c>
      <c r="S1" s="22" t="s">
        <v>361</v>
      </c>
    </row>
    <row r="2" spans="1:19">
      <c r="A2" s="4" t="s">
        <v>58</v>
      </c>
      <c r="B2" s="5">
        <v>45567</v>
      </c>
      <c r="C2" s="4" t="s">
        <v>59</v>
      </c>
      <c r="D2" s="4" t="s">
        <v>60</v>
      </c>
      <c r="E2" s="4" t="s">
        <v>61</v>
      </c>
      <c r="F2" s="4" t="s">
        <v>62</v>
      </c>
      <c r="G2" s="4" t="s">
        <v>63</v>
      </c>
      <c r="H2" s="6">
        <v>3</v>
      </c>
      <c r="I2" s="7">
        <v>78.72</v>
      </c>
      <c r="J2" s="7">
        <v>236.16</v>
      </c>
      <c r="K2" s="7">
        <v>46.08</v>
      </c>
      <c r="L2" s="8">
        <v>138.24</v>
      </c>
      <c r="M2" s="7">
        <v>97.92</v>
      </c>
      <c r="N2" s="6">
        <v>121</v>
      </c>
      <c r="O2" s="6">
        <v>30</v>
      </c>
      <c r="P2" s="6">
        <v>2024</v>
      </c>
      <c r="Q2" s="21" t="s">
        <v>345</v>
      </c>
      <c r="R2" s="6">
        <v>4</v>
      </c>
      <c r="S2" s="6">
        <f>MONTH(PQ_cleaned_data[[#This Row],[Order Date]])</f>
        <v>10</v>
      </c>
    </row>
    <row r="3" spans="1:19">
      <c r="A3" s="4" t="s">
        <v>64</v>
      </c>
      <c r="B3" s="5">
        <v>45533</v>
      </c>
      <c r="C3" s="4" t="s">
        <v>65</v>
      </c>
      <c r="D3" s="4" t="s">
        <v>66</v>
      </c>
      <c r="E3" s="4" t="s">
        <v>67</v>
      </c>
      <c r="F3" s="4" t="s">
        <v>62</v>
      </c>
      <c r="G3" s="4" t="s">
        <v>68</v>
      </c>
      <c r="H3" s="6">
        <v>15</v>
      </c>
      <c r="I3" s="7">
        <v>148.38</v>
      </c>
      <c r="J3" s="7">
        <v>2225.6999999999998</v>
      </c>
      <c r="K3" s="7">
        <v>71.3</v>
      </c>
      <c r="L3" s="8">
        <v>1069.5</v>
      </c>
      <c r="M3" s="7">
        <v>1156.2</v>
      </c>
      <c r="N3" s="6">
        <v>145</v>
      </c>
      <c r="O3" s="6">
        <v>30</v>
      </c>
      <c r="P3" s="6">
        <v>2024</v>
      </c>
      <c r="Q3" s="4" t="s">
        <v>346</v>
      </c>
      <c r="R3" s="6">
        <v>3</v>
      </c>
      <c r="S3" s="6">
        <f>MONTH(PQ_cleaned_data[[#This Row],[Order Date]])</f>
        <v>8</v>
      </c>
    </row>
    <row r="4" spans="1:19">
      <c r="A4" s="4" t="s">
        <v>69</v>
      </c>
      <c r="B4" s="5">
        <v>45545</v>
      </c>
      <c r="C4" s="4" t="s">
        <v>70</v>
      </c>
      <c r="D4" s="4" t="s">
        <v>71</v>
      </c>
      <c r="E4" s="4" t="s">
        <v>72</v>
      </c>
      <c r="F4" s="4" t="s">
        <v>82</v>
      </c>
      <c r="G4" s="4" t="s">
        <v>74</v>
      </c>
      <c r="H4" s="6">
        <v>2</v>
      </c>
      <c r="I4" s="7">
        <v>124.44</v>
      </c>
      <c r="J4" s="7">
        <v>248.88</v>
      </c>
      <c r="K4" s="7">
        <v>73.97</v>
      </c>
      <c r="L4" s="8">
        <v>147.94</v>
      </c>
      <c r="M4" s="7">
        <v>100.94</v>
      </c>
      <c r="N4" s="6">
        <v>151</v>
      </c>
      <c r="O4" s="6">
        <v>50</v>
      </c>
      <c r="P4" s="6">
        <v>2024</v>
      </c>
      <c r="Q4" s="4" t="s">
        <v>347</v>
      </c>
      <c r="R4" s="6">
        <v>3</v>
      </c>
      <c r="S4" s="6">
        <f>MONTH(PQ_cleaned_data[[#This Row],[Order Date]])</f>
        <v>9</v>
      </c>
    </row>
    <row r="5" spans="1:19">
      <c r="A5" s="4" t="s">
        <v>75</v>
      </c>
      <c r="B5" s="5">
        <v>45324</v>
      </c>
      <c r="C5" s="4" t="s">
        <v>70</v>
      </c>
      <c r="D5" s="4" t="s">
        <v>71</v>
      </c>
      <c r="E5" s="4" t="s">
        <v>72</v>
      </c>
      <c r="F5" s="4" t="s">
        <v>76</v>
      </c>
      <c r="G5" s="4" t="s">
        <v>88</v>
      </c>
      <c r="H5" s="6">
        <v>14</v>
      </c>
      <c r="I5" s="7">
        <v>222.84</v>
      </c>
      <c r="J5" s="7">
        <v>3119.76</v>
      </c>
      <c r="K5" s="7">
        <v>99.56</v>
      </c>
      <c r="L5" s="8">
        <v>1393.84</v>
      </c>
      <c r="M5" s="7">
        <v>1725.92</v>
      </c>
      <c r="N5" s="6">
        <v>159</v>
      </c>
      <c r="O5" s="6">
        <v>50</v>
      </c>
      <c r="P5" s="6">
        <v>2024</v>
      </c>
      <c r="Q5" s="4" t="s">
        <v>348</v>
      </c>
      <c r="R5" s="6">
        <v>1</v>
      </c>
      <c r="S5" s="6">
        <f>MONTH(PQ_cleaned_data[[#This Row],[Order Date]])</f>
        <v>2</v>
      </c>
    </row>
    <row r="6" spans="1:19">
      <c r="A6" s="4" t="s">
        <v>77</v>
      </c>
      <c r="B6" s="5">
        <v>45468</v>
      </c>
      <c r="C6" s="4" t="s">
        <v>78</v>
      </c>
      <c r="D6" s="4" t="s">
        <v>79</v>
      </c>
      <c r="E6" s="4" t="s">
        <v>72</v>
      </c>
      <c r="F6" s="4" t="s">
        <v>82</v>
      </c>
      <c r="G6" s="4" t="s">
        <v>74</v>
      </c>
      <c r="H6" s="6">
        <v>8</v>
      </c>
      <c r="I6" s="7">
        <v>129.37</v>
      </c>
      <c r="J6" s="7">
        <v>1034.96</v>
      </c>
      <c r="K6" s="7">
        <v>82.16</v>
      </c>
      <c r="L6" s="8">
        <v>657.28</v>
      </c>
      <c r="M6" s="7">
        <v>377.68</v>
      </c>
      <c r="N6" s="6">
        <v>175</v>
      </c>
      <c r="O6" s="6">
        <v>30</v>
      </c>
      <c r="P6" s="6">
        <v>2024</v>
      </c>
      <c r="Q6" s="21" t="s">
        <v>349</v>
      </c>
      <c r="R6" s="6">
        <v>2</v>
      </c>
      <c r="S6" s="6">
        <f>MONTH(PQ_cleaned_data[[#This Row],[Order Date]])</f>
        <v>6</v>
      </c>
    </row>
    <row r="7" spans="1:19">
      <c r="A7" s="4" t="s">
        <v>80</v>
      </c>
      <c r="B7" s="5">
        <v>45476</v>
      </c>
      <c r="C7" s="4" t="s">
        <v>78</v>
      </c>
      <c r="D7" s="4" t="s">
        <v>79</v>
      </c>
      <c r="E7" s="4" t="s">
        <v>72</v>
      </c>
      <c r="F7" s="4" t="s">
        <v>82</v>
      </c>
      <c r="G7" s="4" t="s">
        <v>74</v>
      </c>
      <c r="H7" s="6">
        <v>6</v>
      </c>
      <c r="I7" s="7">
        <v>157.35</v>
      </c>
      <c r="J7" s="7">
        <v>944.1</v>
      </c>
      <c r="K7" s="7">
        <v>80.72</v>
      </c>
      <c r="L7" s="8">
        <v>484.32</v>
      </c>
      <c r="M7" s="7">
        <v>459.78</v>
      </c>
      <c r="N7" s="6">
        <v>191</v>
      </c>
      <c r="O7" s="6">
        <v>20</v>
      </c>
      <c r="P7" s="6">
        <v>2024</v>
      </c>
      <c r="Q7" s="4" t="s">
        <v>350</v>
      </c>
      <c r="R7" s="6">
        <v>3</v>
      </c>
      <c r="S7" s="6">
        <f>MONTH(PQ_cleaned_data[[#This Row],[Order Date]])</f>
        <v>7</v>
      </c>
    </row>
    <row r="8" spans="1:19">
      <c r="A8" s="4" t="s">
        <v>81</v>
      </c>
      <c r="B8" s="5">
        <v>45544</v>
      </c>
      <c r="C8" s="4" t="s">
        <v>70</v>
      </c>
      <c r="D8" s="4" t="s">
        <v>71</v>
      </c>
      <c r="E8" s="4" t="s">
        <v>72</v>
      </c>
      <c r="F8" s="4" t="s">
        <v>82</v>
      </c>
      <c r="G8" s="4" t="s">
        <v>68</v>
      </c>
      <c r="H8" s="6">
        <v>8</v>
      </c>
      <c r="I8" s="7">
        <v>56.31</v>
      </c>
      <c r="J8" s="7">
        <v>450.48</v>
      </c>
      <c r="K8" s="7">
        <v>23.58</v>
      </c>
      <c r="L8" s="8">
        <v>188.64</v>
      </c>
      <c r="M8" s="7">
        <v>261.83999999999997</v>
      </c>
      <c r="N8" s="6">
        <v>4</v>
      </c>
      <c r="O8" s="6">
        <v>30</v>
      </c>
      <c r="P8" s="6">
        <v>2024</v>
      </c>
      <c r="Q8" s="4" t="s">
        <v>347</v>
      </c>
      <c r="R8" s="6">
        <v>3</v>
      </c>
      <c r="S8" s="6">
        <f>MONTH(PQ_cleaned_data[[#This Row],[Order Date]])</f>
        <v>9</v>
      </c>
    </row>
    <row r="9" spans="1:19">
      <c r="A9" s="4" t="s">
        <v>83</v>
      </c>
      <c r="B9" s="5">
        <v>45324</v>
      </c>
      <c r="C9" s="4" t="s">
        <v>84</v>
      </c>
      <c r="D9" s="4" t="s">
        <v>85</v>
      </c>
      <c r="E9" s="4" t="s">
        <v>86</v>
      </c>
      <c r="F9" s="4" t="s">
        <v>82</v>
      </c>
      <c r="G9" s="4" t="s">
        <v>68</v>
      </c>
      <c r="H9" s="6">
        <v>14</v>
      </c>
      <c r="I9" s="7">
        <v>32.92</v>
      </c>
      <c r="J9" s="7">
        <v>460.88</v>
      </c>
      <c r="K9" s="7">
        <v>16.149999999999999</v>
      </c>
      <c r="L9" s="8">
        <v>226.1</v>
      </c>
      <c r="M9" s="7">
        <v>234.78</v>
      </c>
      <c r="N9" s="6">
        <v>143</v>
      </c>
      <c r="O9" s="6">
        <v>20</v>
      </c>
      <c r="P9" s="6">
        <v>2024</v>
      </c>
      <c r="Q9" s="4" t="s">
        <v>348</v>
      </c>
      <c r="R9" s="6">
        <v>1</v>
      </c>
      <c r="S9" s="6">
        <f>MONTH(PQ_cleaned_data[[#This Row],[Order Date]])</f>
        <v>2</v>
      </c>
    </row>
    <row r="10" spans="1:19">
      <c r="A10" s="4" t="s">
        <v>87</v>
      </c>
      <c r="B10" s="5">
        <v>45577</v>
      </c>
      <c r="C10" s="4" t="s">
        <v>70</v>
      </c>
      <c r="D10" s="4" t="s">
        <v>71</v>
      </c>
      <c r="E10" s="4" t="s">
        <v>72</v>
      </c>
      <c r="F10" s="4" t="s">
        <v>62</v>
      </c>
      <c r="G10" s="4" t="s">
        <v>88</v>
      </c>
      <c r="H10" s="6">
        <v>5</v>
      </c>
      <c r="I10" s="7">
        <v>214.08</v>
      </c>
      <c r="J10" s="7">
        <v>1070.4000000000001</v>
      </c>
      <c r="K10" s="7">
        <v>160.44999999999999</v>
      </c>
      <c r="L10" s="8">
        <v>802.25</v>
      </c>
      <c r="M10" s="7">
        <v>268.14999999999998</v>
      </c>
      <c r="N10" s="6">
        <v>154</v>
      </c>
      <c r="O10" s="6">
        <v>50</v>
      </c>
      <c r="P10" s="6">
        <v>2024</v>
      </c>
      <c r="Q10" s="4" t="s">
        <v>345</v>
      </c>
      <c r="R10" s="6">
        <v>4</v>
      </c>
      <c r="S10" s="6">
        <f>MONTH(PQ_cleaned_data[[#This Row],[Order Date]])</f>
        <v>10</v>
      </c>
    </row>
    <row r="11" spans="1:19">
      <c r="A11" s="4" t="s">
        <v>89</v>
      </c>
      <c r="B11" s="5">
        <v>45348</v>
      </c>
      <c r="C11" s="4" t="s">
        <v>90</v>
      </c>
      <c r="D11" s="4" t="s">
        <v>91</v>
      </c>
      <c r="E11" s="4" t="s">
        <v>72</v>
      </c>
      <c r="F11" s="4" t="s">
        <v>62</v>
      </c>
      <c r="G11" s="4" t="s">
        <v>92</v>
      </c>
      <c r="H11" s="6">
        <v>20</v>
      </c>
      <c r="I11" s="7">
        <v>154.37</v>
      </c>
      <c r="J11" s="7">
        <v>3087.4</v>
      </c>
      <c r="K11" s="7">
        <v>114.75</v>
      </c>
      <c r="L11" s="8">
        <v>2295</v>
      </c>
      <c r="M11" s="7">
        <v>792.4</v>
      </c>
      <c r="N11" s="6">
        <v>26</v>
      </c>
      <c r="O11" s="6">
        <v>50</v>
      </c>
      <c r="P11" s="6">
        <v>2024</v>
      </c>
      <c r="Q11" s="4" t="s">
        <v>348</v>
      </c>
      <c r="R11" s="6">
        <v>1</v>
      </c>
      <c r="S11" s="6">
        <f>MONTH(PQ_cleaned_data[[#This Row],[Order Date]])</f>
        <v>2</v>
      </c>
    </row>
    <row r="12" spans="1:19">
      <c r="A12" s="4" t="s">
        <v>93</v>
      </c>
      <c r="B12" s="5">
        <v>45372</v>
      </c>
      <c r="C12" s="4" t="s">
        <v>70</v>
      </c>
      <c r="D12" s="4" t="s">
        <v>71</v>
      </c>
      <c r="E12" s="4" t="s">
        <v>72</v>
      </c>
      <c r="F12" s="4" t="s">
        <v>76</v>
      </c>
      <c r="G12" s="4" t="s">
        <v>68</v>
      </c>
      <c r="H12" s="6">
        <v>15</v>
      </c>
      <c r="I12" s="7">
        <v>191.68</v>
      </c>
      <c r="J12" s="7">
        <v>2875.2</v>
      </c>
      <c r="K12" s="7">
        <v>114.88</v>
      </c>
      <c r="L12" s="8">
        <v>1723.2</v>
      </c>
      <c r="M12" s="7">
        <v>1152</v>
      </c>
      <c r="N12" s="6">
        <v>25</v>
      </c>
      <c r="O12" s="6">
        <v>20</v>
      </c>
      <c r="P12" s="6">
        <v>2024</v>
      </c>
      <c r="Q12" s="4" t="s">
        <v>351</v>
      </c>
      <c r="R12" s="6">
        <v>1</v>
      </c>
      <c r="S12" s="6">
        <f>MONTH(PQ_cleaned_data[[#This Row],[Order Date]])</f>
        <v>3</v>
      </c>
    </row>
    <row r="13" spans="1:19">
      <c r="A13" s="4" t="s">
        <v>94</v>
      </c>
      <c r="B13" s="5">
        <v>45295</v>
      </c>
      <c r="C13" s="4" t="s">
        <v>59</v>
      </c>
      <c r="D13" s="4" t="s">
        <v>60</v>
      </c>
      <c r="E13" s="4" t="s">
        <v>61</v>
      </c>
      <c r="F13" s="4" t="s">
        <v>76</v>
      </c>
      <c r="G13" s="4" t="s">
        <v>88</v>
      </c>
      <c r="H13" s="6">
        <v>16</v>
      </c>
      <c r="I13" s="7">
        <v>88.62</v>
      </c>
      <c r="J13" s="7">
        <v>1417.92</v>
      </c>
      <c r="K13" s="7">
        <v>53.35</v>
      </c>
      <c r="L13" s="8">
        <v>853.6</v>
      </c>
      <c r="M13" s="7">
        <v>564.32000000000005</v>
      </c>
      <c r="N13" s="6">
        <v>21</v>
      </c>
      <c r="O13" s="6">
        <v>30</v>
      </c>
      <c r="P13" s="6">
        <v>2024</v>
      </c>
      <c r="Q13" s="4" t="s">
        <v>352</v>
      </c>
      <c r="R13" s="6">
        <v>1</v>
      </c>
      <c r="S13" s="6">
        <f>MONTH(PQ_cleaned_data[[#This Row],[Order Date]])</f>
        <v>1</v>
      </c>
    </row>
    <row r="14" spans="1:19">
      <c r="A14" s="4" t="s">
        <v>95</v>
      </c>
      <c r="B14" s="5">
        <v>45563</v>
      </c>
      <c r="C14" s="4" t="s">
        <v>96</v>
      </c>
      <c r="D14" s="4" t="s">
        <v>97</v>
      </c>
      <c r="E14" s="4" t="s">
        <v>67</v>
      </c>
      <c r="F14" s="4" t="s">
        <v>76</v>
      </c>
      <c r="G14" s="4" t="s">
        <v>63</v>
      </c>
      <c r="H14" s="6">
        <v>8</v>
      </c>
      <c r="I14" s="7">
        <v>38.81</v>
      </c>
      <c r="J14" s="7">
        <v>310.48</v>
      </c>
      <c r="K14" s="7">
        <v>22.18</v>
      </c>
      <c r="L14" s="8">
        <v>177.44</v>
      </c>
      <c r="M14" s="7">
        <v>133.04</v>
      </c>
      <c r="N14" s="6">
        <v>104</v>
      </c>
      <c r="O14" s="6">
        <v>30</v>
      </c>
      <c r="P14" s="6">
        <v>2024</v>
      </c>
      <c r="Q14" s="4" t="s">
        <v>347</v>
      </c>
      <c r="R14" s="6">
        <v>3</v>
      </c>
      <c r="S14" s="6">
        <f>MONTH(PQ_cleaned_data[[#This Row],[Order Date]])</f>
        <v>9</v>
      </c>
    </row>
    <row r="15" spans="1:19">
      <c r="A15" s="4" t="s">
        <v>98</v>
      </c>
      <c r="B15" s="5">
        <v>45327</v>
      </c>
      <c r="C15" s="4" t="s">
        <v>90</v>
      </c>
      <c r="D15" s="4" t="s">
        <v>91</v>
      </c>
      <c r="E15" s="4" t="s">
        <v>72</v>
      </c>
      <c r="F15" s="4" t="s">
        <v>62</v>
      </c>
      <c r="G15" s="4" t="s">
        <v>99</v>
      </c>
      <c r="H15" s="6">
        <v>11</v>
      </c>
      <c r="I15" s="7">
        <v>82.13</v>
      </c>
      <c r="J15" s="7">
        <v>903.43</v>
      </c>
      <c r="K15" s="7">
        <v>65.11</v>
      </c>
      <c r="L15" s="8">
        <v>716.21</v>
      </c>
      <c r="M15" s="7">
        <v>187.22</v>
      </c>
      <c r="N15" s="6">
        <v>42</v>
      </c>
      <c r="O15" s="6">
        <v>30</v>
      </c>
      <c r="P15" s="6">
        <v>2024</v>
      </c>
      <c r="Q15" s="4" t="s">
        <v>348</v>
      </c>
      <c r="R15" s="6">
        <v>1</v>
      </c>
      <c r="S15" s="6">
        <f>MONTH(PQ_cleaned_data[[#This Row],[Order Date]])</f>
        <v>2</v>
      </c>
    </row>
    <row r="16" spans="1:19">
      <c r="A16" s="4" t="s">
        <v>100</v>
      </c>
      <c r="B16" s="5">
        <v>45321</v>
      </c>
      <c r="C16" s="4" t="s">
        <v>70</v>
      </c>
      <c r="D16" s="4" t="s">
        <v>71</v>
      </c>
      <c r="E16" s="4" t="s">
        <v>72</v>
      </c>
      <c r="F16" s="4" t="s">
        <v>62</v>
      </c>
      <c r="G16" s="4" t="s">
        <v>68</v>
      </c>
      <c r="H16" s="6">
        <v>14</v>
      </c>
      <c r="I16" s="7">
        <v>103.49</v>
      </c>
      <c r="J16" s="7">
        <v>1448.86</v>
      </c>
      <c r="K16" s="7">
        <v>69.58</v>
      </c>
      <c r="L16" s="8">
        <v>974.12</v>
      </c>
      <c r="M16" s="7">
        <v>474.74</v>
      </c>
      <c r="N16" s="6">
        <v>141</v>
      </c>
      <c r="O16" s="6">
        <v>30</v>
      </c>
      <c r="P16" s="6">
        <v>2024</v>
      </c>
      <c r="Q16" s="4" t="s">
        <v>352</v>
      </c>
      <c r="R16" s="6">
        <v>1</v>
      </c>
      <c r="S16" s="6">
        <f>MONTH(PQ_cleaned_data[[#This Row],[Order Date]])</f>
        <v>1</v>
      </c>
    </row>
    <row r="17" spans="1:19">
      <c r="A17" s="4" t="s">
        <v>101</v>
      </c>
      <c r="B17" s="5">
        <v>45498</v>
      </c>
      <c r="C17" s="4" t="s">
        <v>78</v>
      </c>
      <c r="D17" s="4" t="s">
        <v>79</v>
      </c>
      <c r="E17" s="4" t="s">
        <v>72</v>
      </c>
      <c r="F17" s="4" t="s">
        <v>82</v>
      </c>
      <c r="G17" s="4" t="s">
        <v>88</v>
      </c>
      <c r="H17" s="6">
        <v>7</v>
      </c>
      <c r="I17" s="7">
        <v>222.46</v>
      </c>
      <c r="J17" s="7">
        <v>1557.22</v>
      </c>
      <c r="K17" s="7">
        <v>144.54</v>
      </c>
      <c r="L17" s="8">
        <v>1011.78</v>
      </c>
      <c r="M17" s="7">
        <v>545.44000000000005</v>
      </c>
      <c r="N17" s="6">
        <v>158</v>
      </c>
      <c r="O17" s="6">
        <v>50</v>
      </c>
      <c r="P17" s="6">
        <v>2024</v>
      </c>
      <c r="Q17" s="4" t="s">
        <v>350</v>
      </c>
      <c r="R17" s="6">
        <v>3</v>
      </c>
      <c r="S17" s="6">
        <f>MONTH(PQ_cleaned_data[[#This Row],[Order Date]])</f>
        <v>7</v>
      </c>
    </row>
    <row r="18" spans="1:19">
      <c r="A18" s="4" t="s">
        <v>102</v>
      </c>
      <c r="B18" s="5">
        <v>45446</v>
      </c>
      <c r="C18" s="4" t="s">
        <v>90</v>
      </c>
      <c r="D18" s="4" t="s">
        <v>91</v>
      </c>
      <c r="E18" s="4" t="s">
        <v>72</v>
      </c>
      <c r="F18" s="4" t="s">
        <v>103</v>
      </c>
      <c r="G18" s="4" t="s">
        <v>92</v>
      </c>
      <c r="H18" s="6">
        <v>2</v>
      </c>
      <c r="I18" s="7">
        <v>136.66999999999999</v>
      </c>
      <c r="J18" s="7">
        <v>1182</v>
      </c>
      <c r="K18" s="7">
        <v>75.989999999999995</v>
      </c>
      <c r="L18" s="8">
        <v>151.97999999999999</v>
      </c>
      <c r="M18" s="7">
        <v>121.36</v>
      </c>
      <c r="N18" s="6">
        <v>184</v>
      </c>
      <c r="O18" s="6">
        <v>50</v>
      </c>
      <c r="P18" s="6">
        <v>2024</v>
      </c>
      <c r="Q18" s="4" t="s">
        <v>349</v>
      </c>
      <c r="R18" s="6">
        <v>2</v>
      </c>
      <c r="S18" s="6">
        <f>MONTH(PQ_cleaned_data[[#This Row],[Order Date]])</f>
        <v>6</v>
      </c>
    </row>
    <row r="19" spans="1:19">
      <c r="A19" s="4" t="s">
        <v>104</v>
      </c>
      <c r="B19" s="5">
        <v>45558</v>
      </c>
      <c r="C19" s="4" t="s">
        <v>84</v>
      </c>
      <c r="D19" s="4" t="s">
        <v>85</v>
      </c>
      <c r="E19" s="4" t="s">
        <v>86</v>
      </c>
      <c r="F19" s="4" t="s">
        <v>82</v>
      </c>
      <c r="G19" s="4" t="s">
        <v>74</v>
      </c>
      <c r="H19" s="6">
        <v>6</v>
      </c>
      <c r="I19" s="7">
        <v>10.74</v>
      </c>
      <c r="J19" s="7">
        <v>64.44</v>
      </c>
      <c r="K19" s="7">
        <v>8.1199999999999992</v>
      </c>
      <c r="L19" s="8">
        <v>48.72</v>
      </c>
      <c r="M19" s="7">
        <v>15.72</v>
      </c>
      <c r="N19" s="6">
        <v>138</v>
      </c>
      <c r="O19" s="6">
        <v>50</v>
      </c>
      <c r="P19" s="6">
        <v>2024</v>
      </c>
      <c r="Q19" s="4" t="s">
        <v>347</v>
      </c>
      <c r="R19" s="6">
        <v>3</v>
      </c>
      <c r="S19" s="6">
        <f>MONTH(PQ_cleaned_data[[#This Row],[Order Date]])</f>
        <v>9</v>
      </c>
    </row>
    <row r="20" spans="1:19">
      <c r="A20" s="4" t="s">
        <v>105</v>
      </c>
      <c r="B20" s="5">
        <v>45322</v>
      </c>
      <c r="C20" s="4" t="s">
        <v>84</v>
      </c>
      <c r="D20" s="4" t="s">
        <v>85</v>
      </c>
      <c r="E20" s="4" t="s">
        <v>86</v>
      </c>
      <c r="F20" s="4" t="s">
        <v>106</v>
      </c>
      <c r="G20" s="4" t="s">
        <v>99</v>
      </c>
      <c r="H20" s="6">
        <v>9</v>
      </c>
      <c r="I20" s="7">
        <v>158.61000000000001</v>
      </c>
      <c r="J20" s="7">
        <v>1427.49</v>
      </c>
      <c r="K20" s="7">
        <v>85.93</v>
      </c>
      <c r="L20" s="8">
        <v>773.37</v>
      </c>
      <c r="M20" s="7">
        <v>654.12</v>
      </c>
      <c r="N20" s="6">
        <v>12</v>
      </c>
      <c r="O20" s="6">
        <v>50</v>
      </c>
      <c r="P20" s="6">
        <v>2024</v>
      </c>
      <c r="Q20" s="4" t="s">
        <v>352</v>
      </c>
      <c r="R20" s="6">
        <v>1</v>
      </c>
      <c r="S20" s="6">
        <f>MONTH(PQ_cleaned_data[[#This Row],[Order Date]])</f>
        <v>1</v>
      </c>
    </row>
    <row r="21" spans="1:19">
      <c r="A21" s="4" t="s">
        <v>107</v>
      </c>
      <c r="B21" s="5">
        <v>45589</v>
      </c>
      <c r="C21" s="4" t="s">
        <v>59</v>
      </c>
      <c r="D21" s="4" t="s">
        <v>60</v>
      </c>
      <c r="E21" s="4" t="s">
        <v>61</v>
      </c>
      <c r="F21" s="4" t="s">
        <v>103</v>
      </c>
      <c r="G21" s="4" t="s">
        <v>88</v>
      </c>
      <c r="H21" s="6">
        <v>12</v>
      </c>
      <c r="I21" s="7">
        <v>78.3</v>
      </c>
      <c r="J21" s="7">
        <v>939.6</v>
      </c>
      <c r="K21" s="7">
        <v>52.21</v>
      </c>
      <c r="L21" s="8">
        <v>626.52</v>
      </c>
      <c r="M21" s="7">
        <v>313.08</v>
      </c>
      <c r="N21" s="6">
        <v>183</v>
      </c>
      <c r="O21" s="6">
        <v>50</v>
      </c>
      <c r="P21" s="6">
        <v>2024</v>
      </c>
      <c r="Q21" s="4" t="s">
        <v>345</v>
      </c>
      <c r="R21" s="6">
        <v>4</v>
      </c>
      <c r="S21" s="6">
        <f>MONTH(PQ_cleaned_data[[#This Row],[Order Date]])</f>
        <v>10</v>
      </c>
    </row>
    <row r="22" spans="1:19">
      <c r="A22" s="4" t="s">
        <v>108</v>
      </c>
      <c r="B22" s="5">
        <v>45390</v>
      </c>
      <c r="C22" s="4" t="s">
        <v>84</v>
      </c>
      <c r="D22" s="4" t="s">
        <v>85</v>
      </c>
      <c r="E22" s="4" t="s">
        <v>86</v>
      </c>
      <c r="F22" s="4" t="s">
        <v>106</v>
      </c>
      <c r="G22" s="4" t="s">
        <v>63</v>
      </c>
      <c r="H22" s="6">
        <v>15</v>
      </c>
      <c r="I22" s="7">
        <v>29.01</v>
      </c>
      <c r="J22" s="7">
        <v>435.15</v>
      </c>
      <c r="K22" s="7">
        <v>71.95</v>
      </c>
      <c r="L22" s="8">
        <v>297.89999999999998</v>
      </c>
      <c r="M22" s="7">
        <v>137.25</v>
      </c>
      <c r="N22" s="6">
        <v>105</v>
      </c>
      <c r="O22" s="6">
        <v>20</v>
      </c>
      <c r="P22" s="6">
        <v>2024</v>
      </c>
      <c r="Q22" s="4" t="s">
        <v>353</v>
      </c>
      <c r="R22" s="6">
        <v>2</v>
      </c>
      <c r="S22" s="6">
        <f>MONTH(PQ_cleaned_data[[#This Row],[Order Date]])</f>
        <v>4</v>
      </c>
    </row>
    <row r="23" spans="1:19">
      <c r="A23" s="4" t="s">
        <v>109</v>
      </c>
      <c r="B23" s="5">
        <v>45561</v>
      </c>
      <c r="C23" s="4" t="s">
        <v>96</v>
      </c>
      <c r="D23" s="4" t="s">
        <v>97</v>
      </c>
      <c r="E23" s="4" t="s">
        <v>67</v>
      </c>
      <c r="F23" s="4" t="s">
        <v>82</v>
      </c>
      <c r="G23" s="4" t="s">
        <v>88</v>
      </c>
      <c r="H23" s="6">
        <v>19</v>
      </c>
      <c r="I23" s="7">
        <v>141.94999999999999</v>
      </c>
      <c r="J23" s="7">
        <v>2697.05</v>
      </c>
      <c r="K23" s="7">
        <v>101</v>
      </c>
      <c r="L23" s="8">
        <v>1919</v>
      </c>
      <c r="M23" s="7">
        <v>778.05</v>
      </c>
      <c r="N23" s="6">
        <v>67</v>
      </c>
      <c r="O23" s="6">
        <v>50</v>
      </c>
      <c r="P23" s="6">
        <v>2024</v>
      </c>
      <c r="Q23" s="4" t="s">
        <v>347</v>
      </c>
      <c r="R23" s="6">
        <v>3</v>
      </c>
      <c r="S23" s="6">
        <f>MONTH(PQ_cleaned_data[[#This Row],[Order Date]])</f>
        <v>9</v>
      </c>
    </row>
    <row r="24" spans="1:19">
      <c r="A24" s="4" t="s">
        <v>110</v>
      </c>
      <c r="B24" s="5">
        <v>45505</v>
      </c>
      <c r="C24" s="4" t="s">
        <v>111</v>
      </c>
      <c r="D24" s="4" t="s">
        <v>112</v>
      </c>
      <c r="E24" s="4" t="s">
        <v>67</v>
      </c>
      <c r="F24" s="4" t="s">
        <v>106</v>
      </c>
      <c r="G24" s="4" t="s">
        <v>88</v>
      </c>
      <c r="H24" s="6">
        <v>5</v>
      </c>
      <c r="I24" s="7">
        <v>128.91999999999999</v>
      </c>
      <c r="J24" s="7">
        <v>644.6</v>
      </c>
      <c r="K24" s="7">
        <v>76.569999999999993</v>
      </c>
      <c r="L24" s="8">
        <v>382.85</v>
      </c>
      <c r="M24" s="7">
        <v>261.75</v>
      </c>
      <c r="N24" s="6">
        <v>117</v>
      </c>
      <c r="O24" s="6">
        <v>20</v>
      </c>
      <c r="P24" s="6">
        <v>2024</v>
      </c>
      <c r="Q24" s="4" t="s">
        <v>346</v>
      </c>
      <c r="R24" s="6">
        <v>3</v>
      </c>
      <c r="S24" s="6">
        <f>MONTH(PQ_cleaned_data[[#This Row],[Order Date]])</f>
        <v>8</v>
      </c>
    </row>
    <row r="25" spans="1:19">
      <c r="A25" s="4" t="s">
        <v>113</v>
      </c>
      <c r="B25" s="5">
        <v>45481</v>
      </c>
      <c r="C25" s="4" t="s">
        <v>90</v>
      </c>
      <c r="D25" s="4" t="s">
        <v>91</v>
      </c>
      <c r="E25" s="4" t="s">
        <v>72</v>
      </c>
      <c r="F25" s="4" t="s">
        <v>82</v>
      </c>
      <c r="G25" s="4" t="s">
        <v>88</v>
      </c>
      <c r="H25" s="6">
        <v>20</v>
      </c>
      <c r="I25" s="7">
        <v>213.82</v>
      </c>
      <c r="J25" s="7">
        <v>4276.3999999999996</v>
      </c>
      <c r="K25" s="7">
        <v>94.96</v>
      </c>
      <c r="L25" s="8">
        <v>1899.2</v>
      </c>
      <c r="M25" s="7">
        <v>2377.1999999999998</v>
      </c>
      <c r="N25" s="6">
        <v>94</v>
      </c>
      <c r="O25" s="6">
        <v>50</v>
      </c>
      <c r="P25" s="6">
        <v>2024</v>
      </c>
      <c r="Q25" s="4" t="s">
        <v>350</v>
      </c>
      <c r="R25" s="6">
        <v>3</v>
      </c>
      <c r="S25" s="6">
        <f>MONTH(PQ_cleaned_data[[#This Row],[Order Date]])</f>
        <v>7</v>
      </c>
    </row>
    <row r="26" spans="1:19">
      <c r="A26" s="4" t="s">
        <v>114</v>
      </c>
      <c r="B26" s="5">
        <v>45442</v>
      </c>
      <c r="C26" s="4" t="s">
        <v>78</v>
      </c>
      <c r="D26" s="4" t="s">
        <v>79</v>
      </c>
      <c r="E26" s="4" t="s">
        <v>72</v>
      </c>
      <c r="F26" s="4" t="s">
        <v>62</v>
      </c>
      <c r="G26" s="4" t="s">
        <v>68</v>
      </c>
      <c r="H26" s="6">
        <v>1</v>
      </c>
      <c r="I26" s="7">
        <v>198.84</v>
      </c>
      <c r="J26" s="7">
        <v>198.84</v>
      </c>
      <c r="K26" s="7">
        <v>90.84</v>
      </c>
      <c r="L26" s="8">
        <v>90.84</v>
      </c>
      <c r="M26" s="7">
        <v>108</v>
      </c>
      <c r="N26" s="6">
        <v>150</v>
      </c>
      <c r="O26" s="6">
        <v>30</v>
      </c>
      <c r="P26" s="6">
        <v>2024</v>
      </c>
      <c r="Q26" s="4" t="s">
        <v>354</v>
      </c>
      <c r="R26" s="6">
        <v>2</v>
      </c>
      <c r="S26" s="6">
        <f>MONTH(PQ_cleaned_data[[#This Row],[Order Date]])</f>
        <v>5</v>
      </c>
    </row>
    <row r="27" spans="1:19">
      <c r="A27" s="4" t="s">
        <v>115</v>
      </c>
      <c r="B27" s="5">
        <v>45354</v>
      </c>
      <c r="C27" s="4" t="s">
        <v>84</v>
      </c>
      <c r="D27" s="4" t="s">
        <v>85</v>
      </c>
      <c r="E27" s="4" t="s">
        <v>86</v>
      </c>
      <c r="F27" s="4" t="s">
        <v>82</v>
      </c>
      <c r="G27" s="4" t="s">
        <v>68</v>
      </c>
      <c r="H27" s="6">
        <v>3</v>
      </c>
      <c r="I27" s="7">
        <v>218.25</v>
      </c>
      <c r="J27" s="7">
        <v>654.75</v>
      </c>
      <c r="K27" s="7">
        <v>123.75</v>
      </c>
      <c r="L27" s="8">
        <v>371.25</v>
      </c>
      <c r="M27" s="7">
        <v>283.5</v>
      </c>
      <c r="N27" s="6">
        <v>146</v>
      </c>
      <c r="O27" s="6">
        <v>30</v>
      </c>
      <c r="P27" s="6">
        <v>2024</v>
      </c>
      <c r="Q27" s="4" t="s">
        <v>351</v>
      </c>
      <c r="R27" s="6">
        <v>1</v>
      </c>
      <c r="S27" s="6">
        <f>MONTH(PQ_cleaned_data[[#This Row],[Order Date]])</f>
        <v>3</v>
      </c>
    </row>
    <row r="28" spans="1:19">
      <c r="A28" s="4" t="s">
        <v>116</v>
      </c>
      <c r="B28" s="5">
        <v>45362</v>
      </c>
      <c r="C28" s="4" t="s">
        <v>78</v>
      </c>
      <c r="D28" s="4" t="s">
        <v>79</v>
      </c>
      <c r="E28" s="4" t="s">
        <v>72</v>
      </c>
      <c r="F28" s="4" t="s">
        <v>106</v>
      </c>
      <c r="G28" s="4" t="s">
        <v>92</v>
      </c>
      <c r="H28" s="6">
        <v>15</v>
      </c>
      <c r="I28" s="7">
        <v>168.47</v>
      </c>
      <c r="J28" s="7">
        <v>2527.0500000000002</v>
      </c>
      <c r="K28" s="7">
        <v>77.430000000000007</v>
      </c>
      <c r="L28" s="8">
        <v>1161.45</v>
      </c>
      <c r="M28" s="7">
        <v>1365.6</v>
      </c>
      <c r="N28" s="6">
        <v>186</v>
      </c>
      <c r="O28" s="6">
        <v>30</v>
      </c>
      <c r="P28" s="6">
        <v>2024</v>
      </c>
      <c r="Q28" s="4" t="s">
        <v>351</v>
      </c>
      <c r="R28" s="6">
        <v>1</v>
      </c>
      <c r="S28" s="6">
        <f>MONTH(PQ_cleaned_data[[#This Row],[Order Date]])</f>
        <v>3</v>
      </c>
    </row>
    <row r="29" spans="1:19">
      <c r="A29" s="4" t="s">
        <v>117</v>
      </c>
      <c r="B29" s="5">
        <v>45568</v>
      </c>
      <c r="C29" s="4" t="s">
        <v>65</v>
      </c>
      <c r="D29" s="4" t="s">
        <v>66</v>
      </c>
      <c r="E29" s="4" t="s">
        <v>67</v>
      </c>
      <c r="F29" s="4" t="s">
        <v>62</v>
      </c>
      <c r="G29" s="4" t="s">
        <v>92</v>
      </c>
      <c r="H29" s="6">
        <v>15</v>
      </c>
      <c r="I29" s="7">
        <v>185.3</v>
      </c>
      <c r="J29" s="7">
        <v>2779.5</v>
      </c>
      <c r="K29" s="7">
        <v>122</v>
      </c>
      <c r="L29" s="8">
        <v>1830</v>
      </c>
      <c r="M29" s="7">
        <v>949.5</v>
      </c>
      <c r="N29" s="6">
        <v>42</v>
      </c>
      <c r="O29" s="6">
        <v>50</v>
      </c>
      <c r="P29" s="6">
        <v>2024</v>
      </c>
      <c r="Q29" s="4" t="s">
        <v>345</v>
      </c>
      <c r="R29" s="6">
        <v>4</v>
      </c>
      <c r="S29" s="6">
        <f>MONTH(PQ_cleaned_data[[#This Row],[Order Date]])</f>
        <v>10</v>
      </c>
    </row>
    <row r="30" spans="1:19">
      <c r="A30" s="4" t="s">
        <v>118</v>
      </c>
      <c r="B30" s="5">
        <v>45621</v>
      </c>
      <c r="C30" s="4" t="s">
        <v>90</v>
      </c>
      <c r="D30" s="4" t="s">
        <v>91</v>
      </c>
      <c r="E30" s="4" t="s">
        <v>72</v>
      </c>
      <c r="F30" s="4" t="s">
        <v>119</v>
      </c>
      <c r="G30" s="4" t="s">
        <v>88</v>
      </c>
      <c r="H30" s="6">
        <v>7</v>
      </c>
      <c r="I30" s="7">
        <v>239.02</v>
      </c>
      <c r="J30" s="7">
        <v>1673.14</v>
      </c>
      <c r="K30" s="7">
        <v>147.41</v>
      </c>
      <c r="L30" s="8">
        <v>1031.8699999999999</v>
      </c>
      <c r="M30" s="7">
        <v>641.27</v>
      </c>
      <c r="N30" s="6">
        <v>193</v>
      </c>
      <c r="O30" s="6">
        <v>20</v>
      </c>
      <c r="P30" s="6">
        <v>2024</v>
      </c>
      <c r="Q30" s="4" t="s">
        <v>355</v>
      </c>
      <c r="R30" s="6">
        <v>4</v>
      </c>
      <c r="S30" s="6">
        <f>MONTH(PQ_cleaned_data[[#This Row],[Order Date]])</f>
        <v>11</v>
      </c>
    </row>
    <row r="31" spans="1:19">
      <c r="A31" s="4" t="s">
        <v>120</v>
      </c>
      <c r="B31" s="5">
        <v>45301</v>
      </c>
      <c r="C31" s="4" t="s">
        <v>70</v>
      </c>
      <c r="D31" s="4" t="s">
        <v>71</v>
      </c>
      <c r="E31" s="4" t="s">
        <v>72</v>
      </c>
      <c r="F31" s="4" t="s">
        <v>106</v>
      </c>
      <c r="G31" s="4" t="s">
        <v>92</v>
      </c>
      <c r="H31" s="6">
        <v>7</v>
      </c>
      <c r="I31" s="7">
        <v>65.099999999999994</v>
      </c>
      <c r="J31" s="7">
        <v>1182</v>
      </c>
      <c r="K31" s="7">
        <v>44.41</v>
      </c>
      <c r="L31" s="8">
        <v>310.87</v>
      </c>
      <c r="M31" s="7">
        <v>144.83000000000001</v>
      </c>
      <c r="N31" s="6">
        <v>148</v>
      </c>
      <c r="O31" s="6">
        <v>30</v>
      </c>
      <c r="P31" s="6">
        <v>2024</v>
      </c>
      <c r="Q31" s="4" t="s">
        <v>352</v>
      </c>
      <c r="R31" s="6">
        <v>1</v>
      </c>
      <c r="S31" s="6">
        <f>MONTH(PQ_cleaned_data[[#This Row],[Order Date]])</f>
        <v>1</v>
      </c>
    </row>
    <row r="32" spans="1:19">
      <c r="A32" s="4" t="s">
        <v>121</v>
      </c>
      <c r="B32" s="5">
        <v>45303</v>
      </c>
      <c r="C32" s="4" t="s">
        <v>84</v>
      </c>
      <c r="D32" s="4" t="s">
        <v>85</v>
      </c>
      <c r="E32" s="4" t="s">
        <v>86</v>
      </c>
      <c r="F32" s="4" t="s">
        <v>62</v>
      </c>
      <c r="G32" s="4" t="s">
        <v>68</v>
      </c>
      <c r="H32" s="6">
        <v>14</v>
      </c>
      <c r="I32" s="7">
        <v>49.22</v>
      </c>
      <c r="J32" s="7">
        <v>689.08</v>
      </c>
      <c r="K32" s="7">
        <v>20.16</v>
      </c>
      <c r="L32" s="8">
        <v>282.24</v>
      </c>
      <c r="M32" s="7">
        <v>406.84</v>
      </c>
      <c r="N32" s="6">
        <v>135</v>
      </c>
      <c r="O32" s="6">
        <v>30</v>
      </c>
      <c r="P32" s="6">
        <v>2024</v>
      </c>
      <c r="Q32" s="4" t="s">
        <v>352</v>
      </c>
      <c r="R32" s="6">
        <v>1</v>
      </c>
      <c r="S32" s="6">
        <f>MONTH(PQ_cleaned_data[[#This Row],[Order Date]])</f>
        <v>1</v>
      </c>
    </row>
    <row r="33" spans="1:19">
      <c r="A33" s="4" t="s">
        <v>122</v>
      </c>
      <c r="B33" s="5">
        <v>45385</v>
      </c>
      <c r="C33" s="4" t="s">
        <v>70</v>
      </c>
      <c r="D33" s="4" t="s">
        <v>71</v>
      </c>
      <c r="E33" s="4" t="s">
        <v>72</v>
      </c>
      <c r="F33" s="4" t="s">
        <v>62</v>
      </c>
      <c r="G33" s="4" t="s">
        <v>92</v>
      </c>
      <c r="H33" s="6">
        <v>3</v>
      </c>
      <c r="I33" s="7">
        <v>42.79</v>
      </c>
      <c r="J33" s="7">
        <v>128.37</v>
      </c>
      <c r="K33" s="7">
        <v>33.409999999999997</v>
      </c>
      <c r="L33" s="8">
        <v>100.23</v>
      </c>
      <c r="M33" s="7">
        <v>28.14</v>
      </c>
      <c r="N33" s="6">
        <v>173</v>
      </c>
      <c r="O33" s="6">
        <v>20</v>
      </c>
      <c r="P33" s="6">
        <v>2024</v>
      </c>
      <c r="Q33" s="4" t="s">
        <v>353</v>
      </c>
      <c r="R33" s="6">
        <v>2</v>
      </c>
      <c r="S33" s="6">
        <f>MONTH(PQ_cleaned_data[[#This Row],[Order Date]])</f>
        <v>4</v>
      </c>
    </row>
    <row r="34" spans="1:19">
      <c r="A34" s="4" t="s">
        <v>123</v>
      </c>
      <c r="B34" s="5">
        <v>45342</v>
      </c>
      <c r="C34" s="4" t="s">
        <v>84</v>
      </c>
      <c r="D34" s="4" t="s">
        <v>85</v>
      </c>
      <c r="E34" s="4" t="s">
        <v>86</v>
      </c>
      <c r="F34" s="4" t="s">
        <v>62</v>
      </c>
      <c r="G34" s="4" t="s">
        <v>74</v>
      </c>
      <c r="H34" s="6">
        <v>5</v>
      </c>
      <c r="I34" s="7">
        <v>106.14</v>
      </c>
      <c r="J34" s="7">
        <v>530.70000000000005</v>
      </c>
      <c r="K34" s="7">
        <v>56.22</v>
      </c>
      <c r="L34" s="8">
        <v>281.10000000000002</v>
      </c>
      <c r="M34" s="7">
        <v>249.6</v>
      </c>
      <c r="N34" s="6">
        <v>96</v>
      </c>
      <c r="O34" s="6">
        <v>20</v>
      </c>
      <c r="P34" s="6">
        <v>2024</v>
      </c>
      <c r="Q34" s="4" t="s">
        <v>348</v>
      </c>
      <c r="R34" s="6">
        <v>1</v>
      </c>
      <c r="S34" s="6">
        <f>MONTH(PQ_cleaned_data[[#This Row],[Order Date]])</f>
        <v>2</v>
      </c>
    </row>
    <row r="35" spans="1:19">
      <c r="A35" s="4" t="s">
        <v>124</v>
      </c>
      <c r="B35" s="5">
        <v>45550</v>
      </c>
      <c r="C35" s="4" t="s">
        <v>96</v>
      </c>
      <c r="D35" s="4" t="s">
        <v>97</v>
      </c>
      <c r="E35" s="4" t="s">
        <v>67</v>
      </c>
      <c r="F35" s="4" t="s">
        <v>62</v>
      </c>
      <c r="G35" s="4" t="s">
        <v>99</v>
      </c>
      <c r="H35" s="6">
        <v>4</v>
      </c>
      <c r="I35" s="7">
        <v>70.98</v>
      </c>
      <c r="J35" s="7">
        <v>283.92</v>
      </c>
      <c r="K35" s="7">
        <v>71.95</v>
      </c>
      <c r="L35" s="8">
        <v>149.72</v>
      </c>
      <c r="M35" s="7">
        <v>134.19999999999999</v>
      </c>
      <c r="N35" s="6">
        <v>141</v>
      </c>
      <c r="O35" s="6">
        <v>30</v>
      </c>
      <c r="P35" s="6">
        <v>2024</v>
      </c>
      <c r="Q35" s="4" t="s">
        <v>347</v>
      </c>
      <c r="R35" s="6">
        <v>3</v>
      </c>
      <c r="S35" s="6">
        <f>MONTH(PQ_cleaned_data[[#This Row],[Order Date]])</f>
        <v>9</v>
      </c>
    </row>
    <row r="36" spans="1:19">
      <c r="A36" s="4" t="s">
        <v>125</v>
      </c>
      <c r="B36" s="5">
        <v>45575</v>
      </c>
      <c r="C36" s="4" t="s">
        <v>90</v>
      </c>
      <c r="D36" s="4" t="s">
        <v>91</v>
      </c>
      <c r="E36" s="4" t="s">
        <v>72</v>
      </c>
      <c r="F36" s="4" t="s">
        <v>62</v>
      </c>
      <c r="G36" s="4" t="s">
        <v>99</v>
      </c>
      <c r="H36" s="6">
        <v>8</v>
      </c>
      <c r="I36" s="7">
        <v>191.93</v>
      </c>
      <c r="J36" s="7">
        <v>1535.44</v>
      </c>
      <c r="K36" s="7">
        <v>126.79</v>
      </c>
      <c r="L36" s="8">
        <v>1014.32</v>
      </c>
      <c r="M36" s="7">
        <v>521.12</v>
      </c>
      <c r="N36" s="6">
        <v>32</v>
      </c>
      <c r="O36" s="6">
        <v>30</v>
      </c>
      <c r="P36" s="6">
        <v>2024</v>
      </c>
      <c r="Q36" s="4" t="s">
        <v>345</v>
      </c>
      <c r="R36" s="6">
        <v>4</v>
      </c>
      <c r="S36" s="6">
        <f>MONTH(PQ_cleaned_data[[#This Row],[Order Date]])</f>
        <v>10</v>
      </c>
    </row>
    <row r="37" spans="1:19">
      <c r="A37" s="4" t="s">
        <v>126</v>
      </c>
      <c r="B37" s="5">
        <v>45483</v>
      </c>
      <c r="C37" s="4" t="s">
        <v>111</v>
      </c>
      <c r="D37" s="4" t="s">
        <v>112</v>
      </c>
      <c r="E37" s="4" t="s">
        <v>67</v>
      </c>
      <c r="F37" s="4" t="s">
        <v>62</v>
      </c>
      <c r="G37" s="4" t="s">
        <v>63</v>
      </c>
      <c r="H37" s="6">
        <v>8</v>
      </c>
      <c r="I37" s="7">
        <v>136.69999999999999</v>
      </c>
      <c r="J37" s="7">
        <v>1093.5999999999999</v>
      </c>
      <c r="K37" s="7">
        <v>77.849999999999994</v>
      </c>
      <c r="L37" s="8">
        <v>622.79999999999995</v>
      </c>
      <c r="M37" s="7">
        <v>470.8</v>
      </c>
      <c r="N37" s="6">
        <v>142</v>
      </c>
      <c r="O37" s="6">
        <v>30</v>
      </c>
      <c r="P37" s="6">
        <v>2024</v>
      </c>
      <c r="Q37" s="4" t="s">
        <v>350</v>
      </c>
      <c r="R37" s="6">
        <v>3</v>
      </c>
      <c r="S37" s="6">
        <f>MONTH(PQ_cleaned_data[[#This Row],[Order Date]])</f>
        <v>7</v>
      </c>
    </row>
    <row r="38" spans="1:19">
      <c r="A38" s="4" t="s">
        <v>127</v>
      </c>
      <c r="B38" s="5">
        <v>45377</v>
      </c>
      <c r="C38" s="4" t="s">
        <v>65</v>
      </c>
      <c r="D38" s="4" t="s">
        <v>66</v>
      </c>
      <c r="E38" s="4" t="s">
        <v>67</v>
      </c>
      <c r="F38" s="4" t="s">
        <v>62</v>
      </c>
      <c r="G38" s="4" t="s">
        <v>68</v>
      </c>
      <c r="H38" s="6">
        <v>2</v>
      </c>
      <c r="I38" s="7">
        <v>233.71</v>
      </c>
      <c r="J38" s="7">
        <v>467.42</v>
      </c>
      <c r="K38" s="7">
        <v>138.56</v>
      </c>
      <c r="L38" s="8">
        <v>277.12</v>
      </c>
      <c r="M38" s="7">
        <v>190.3</v>
      </c>
      <c r="N38" s="6">
        <v>153</v>
      </c>
      <c r="O38" s="6">
        <v>30</v>
      </c>
      <c r="P38" s="6">
        <v>2024</v>
      </c>
      <c r="Q38" s="4" t="s">
        <v>351</v>
      </c>
      <c r="R38" s="6">
        <v>1</v>
      </c>
      <c r="S38" s="6">
        <f>MONTH(PQ_cleaned_data[[#This Row],[Order Date]])</f>
        <v>3</v>
      </c>
    </row>
    <row r="39" spans="1:19">
      <c r="A39" s="4" t="s">
        <v>129</v>
      </c>
      <c r="B39" s="5">
        <v>45374</v>
      </c>
      <c r="C39" s="4" t="s">
        <v>90</v>
      </c>
      <c r="D39" s="4" t="s">
        <v>91</v>
      </c>
      <c r="E39" s="4" t="s">
        <v>72</v>
      </c>
      <c r="F39" s="4" t="s">
        <v>82</v>
      </c>
      <c r="G39" s="4" t="s">
        <v>99</v>
      </c>
      <c r="H39" s="6">
        <v>10</v>
      </c>
      <c r="I39" s="7">
        <v>26.98</v>
      </c>
      <c r="J39" s="7">
        <v>269.8</v>
      </c>
      <c r="K39" s="7">
        <v>18.329999999999998</v>
      </c>
      <c r="L39" s="8">
        <v>183.3</v>
      </c>
      <c r="M39" s="7">
        <v>86.5</v>
      </c>
      <c r="N39" s="6">
        <v>35</v>
      </c>
      <c r="O39" s="6">
        <v>50</v>
      </c>
      <c r="P39" s="6">
        <v>2024</v>
      </c>
      <c r="Q39" s="4" t="s">
        <v>351</v>
      </c>
      <c r="R39" s="6">
        <v>1</v>
      </c>
      <c r="S39" s="6">
        <f>MONTH(PQ_cleaned_data[[#This Row],[Order Date]])</f>
        <v>3</v>
      </c>
    </row>
    <row r="40" spans="1:19">
      <c r="A40" s="4" t="s">
        <v>130</v>
      </c>
      <c r="B40" s="5">
        <v>45467</v>
      </c>
      <c r="C40" s="4" t="s">
        <v>70</v>
      </c>
      <c r="D40" s="4" t="s">
        <v>71</v>
      </c>
      <c r="E40" s="4" t="s">
        <v>72</v>
      </c>
      <c r="F40" s="4" t="s">
        <v>119</v>
      </c>
      <c r="G40" s="4" t="s">
        <v>99</v>
      </c>
      <c r="H40" s="6">
        <v>15</v>
      </c>
      <c r="I40" s="7">
        <v>71.89</v>
      </c>
      <c r="J40" s="7">
        <v>1078.3499999999999</v>
      </c>
      <c r="K40" s="7">
        <v>47.8</v>
      </c>
      <c r="L40" s="8">
        <v>717</v>
      </c>
      <c r="M40" s="7">
        <v>361.35</v>
      </c>
      <c r="N40" s="6">
        <v>82</v>
      </c>
      <c r="O40" s="6">
        <v>30</v>
      </c>
      <c r="P40" s="6">
        <v>2024</v>
      </c>
      <c r="Q40" s="4" t="s">
        <v>349</v>
      </c>
      <c r="R40" s="6">
        <v>2</v>
      </c>
      <c r="S40" s="6">
        <f>MONTH(PQ_cleaned_data[[#This Row],[Order Date]])</f>
        <v>6</v>
      </c>
    </row>
    <row r="41" spans="1:19">
      <c r="A41" s="4" t="s">
        <v>131</v>
      </c>
      <c r="B41" s="5">
        <v>45293</v>
      </c>
      <c r="C41" s="4" t="s">
        <v>78</v>
      </c>
      <c r="D41" s="4" t="s">
        <v>79</v>
      </c>
      <c r="E41" s="4" t="s">
        <v>72</v>
      </c>
      <c r="F41" s="4" t="s">
        <v>82</v>
      </c>
      <c r="G41" s="4" t="s">
        <v>99</v>
      </c>
      <c r="H41" s="6">
        <v>1</v>
      </c>
      <c r="I41" s="7">
        <v>225.85</v>
      </c>
      <c r="J41" s="7">
        <v>225.85</v>
      </c>
      <c r="K41" s="7">
        <v>71.95</v>
      </c>
      <c r="L41" s="8">
        <v>151.11000000000001</v>
      </c>
      <c r="M41" s="7">
        <v>74.739999999999995</v>
      </c>
      <c r="N41" s="6">
        <v>105</v>
      </c>
      <c r="O41" s="6">
        <v>50</v>
      </c>
      <c r="P41" s="6">
        <v>2024</v>
      </c>
      <c r="Q41" s="4" t="s">
        <v>352</v>
      </c>
      <c r="R41" s="6">
        <v>1</v>
      </c>
      <c r="S41" s="6">
        <f>MONTH(PQ_cleaned_data[[#This Row],[Order Date]])</f>
        <v>1</v>
      </c>
    </row>
    <row r="42" spans="1:19">
      <c r="A42" s="4" t="s">
        <v>132</v>
      </c>
      <c r="B42" s="5">
        <v>45307</v>
      </c>
      <c r="C42" s="4" t="s">
        <v>78</v>
      </c>
      <c r="D42" s="4" t="s">
        <v>79</v>
      </c>
      <c r="E42" s="4" t="s">
        <v>72</v>
      </c>
      <c r="F42" s="4" t="s">
        <v>62</v>
      </c>
      <c r="G42" s="4" t="s">
        <v>74</v>
      </c>
      <c r="H42" s="6">
        <v>4</v>
      </c>
      <c r="I42" s="7">
        <v>91.48</v>
      </c>
      <c r="J42" s="7">
        <v>365.92</v>
      </c>
      <c r="K42" s="7">
        <v>66.33</v>
      </c>
      <c r="L42" s="8">
        <v>265.32</v>
      </c>
      <c r="M42" s="7">
        <v>100.6</v>
      </c>
      <c r="N42" s="6">
        <v>153</v>
      </c>
      <c r="O42" s="6">
        <v>30</v>
      </c>
      <c r="P42" s="6">
        <v>2024</v>
      </c>
      <c r="Q42" s="4" t="s">
        <v>352</v>
      </c>
      <c r="R42" s="6">
        <v>1</v>
      </c>
      <c r="S42" s="6">
        <f>MONTH(PQ_cleaned_data[[#This Row],[Order Date]])</f>
        <v>1</v>
      </c>
    </row>
    <row r="43" spans="1:19">
      <c r="A43" s="4" t="s">
        <v>133</v>
      </c>
      <c r="B43" s="5">
        <v>45481</v>
      </c>
      <c r="C43" s="4" t="s">
        <v>59</v>
      </c>
      <c r="D43" s="4" t="s">
        <v>60</v>
      </c>
      <c r="E43" s="4" t="s">
        <v>61</v>
      </c>
      <c r="F43" s="4" t="s">
        <v>62</v>
      </c>
      <c r="G43" s="4" t="s">
        <v>74</v>
      </c>
      <c r="H43" s="6">
        <v>15</v>
      </c>
      <c r="I43" s="7">
        <v>7.29</v>
      </c>
      <c r="J43" s="7">
        <v>109.35</v>
      </c>
      <c r="K43" s="7">
        <v>5.08</v>
      </c>
      <c r="L43" s="8">
        <v>76.2</v>
      </c>
      <c r="M43" s="7">
        <v>33.15</v>
      </c>
      <c r="N43" s="6">
        <v>194</v>
      </c>
      <c r="O43" s="6">
        <v>30</v>
      </c>
      <c r="P43" s="6">
        <v>2024</v>
      </c>
      <c r="Q43" s="4" t="s">
        <v>350</v>
      </c>
      <c r="R43" s="6">
        <v>3</v>
      </c>
      <c r="S43" s="6">
        <f>MONTH(PQ_cleaned_data[[#This Row],[Order Date]])</f>
        <v>7</v>
      </c>
    </row>
    <row r="44" spans="1:19">
      <c r="A44" s="4" t="s">
        <v>134</v>
      </c>
      <c r="B44" s="5">
        <v>45411</v>
      </c>
      <c r="C44" s="4" t="s">
        <v>78</v>
      </c>
      <c r="D44" s="4" t="s">
        <v>79</v>
      </c>
      <c r="E44" s="4" t="s">
        <v>72</v>
      </c>
      <c r="F44" s="4" t="s">
        <v>119</v>
      </c>
      <c r="G44" s="4" t="s">
        <v>63</v>
      </c>
      <c r="H44" s="6">
        <v>12</v>
      </c>
      <c r="I44" s="7">
        <v>14.02</v>
      </c>
      <c r="J44" s="7">
        <v>168.24</v>
      </c>
      <c r="K44" s="7">
        <v>8.3699999999999992</v>
      </c>
      <c r="L44" s="8">
        <v>100.44</v>
      </c>
      <c r="M44" s="7">
        <v>67.8</v>
      </c>
      <c r="N44" s="6">
        <v>180</v>
      </c>
      <c r="O44" s="6">
        <v>50</v>
      </c>
      <c r="P44" s="6">
        <v>2024</v>
      </c>
      <c r="Q44" s="4" t="s">
        <v>353</v>
      </c>
      <c r="R44" s="6">
        <v>2</v>
      </c>
      <c r="S44" s="6">
        <f>MONTH(PQ_cleaned_data[[#This Row],[Order Date]])</f>
        <v>4</v>
      </c>
    </row>
    <row r="45" spans="1:19">
      <c r="A45" s="4" t="s">
        <v>135</v>
      </c>
      <c r="B45" s="5">
        <v>45583</v>
      </c>
      <c r="C45" s="4" t="s">
        <v>78</v>
      </c>
      <c r="D45" s="4" t="s">
        <v>79</v>
      </c>
      <c r="E45" s="4" t="s">
        <v>72</v>
      </c>
      <c r="F45" s="4" t="s">
        <v>103</v>
      </c>
      <c r="G45" s="4" t="s">
        <v>63</v>
      </c>
      <c r="H45" s="6">
        <v>6</v>
      </c>
      <c r="I45" s="7">
        <v>140.19</v>
      </c>
      <c r="J45" s="7">
        <v>841.14</v>
      </c>
      <c r="K45" s="7">
        <v>93.08</v>
      </c>
      <c r="L45" s="8">
        <v>558.48</v>
      </c>
      <c r="M45" s="7">
        <v>282.66000000000003</v>
      </c>
      <c r="N45" s="6">
        <v>144</v>
      </c>
      <c r="O45" s="6">
        <v>50</v>
      </c>
      <c r="P45" s="6">
        <v>2024</v>
      </c>
      <c r="Q45" s="4" t="s">
        <v>345</v>
      </c>
      <c r="R45" s="6">
        <v>4</v>
      </c>
      <c r="S45" s="6">
        <f>MONTH(PQ_cleaned_data[[#This Row],[Order Date]])</f>
        <v>10</v>
      </c>
    </row>
    <row r="46" spans="1:19">
      <c r="A46" s="4" t="s">
        <v>136</v>
      </c>
      <c r="B46" s="5">
        <v>45408</v>
      </c>
      <c r="C46" s="4" t="s">
        <v>70</v>
      </c>
      <c r="D46" s="4" t="s">
        <v>71</v>
      </c>
      <c r="E46" s="4" t="s">
        <v>72</v>
      </c>
      <c r="F46" s="4" t="s">
        <v>82</v>
      </c>
      <c r="G46" s="4" t="s">
        <v>88</v>
      </c>
      <c r="H46" s="6">
        <v>7</v>
      </c>
      <c r="I46" s="7">
        <v>212.68</v>
      </c>
      <c r="J46" s="7">
        <v>1488.76</v>
      </c>
      <c r="K46" s="7">
        <v>87.04</v>
      </c>
      <c r="L46" s="8">
        <v>609.28</v>
      </c>
      <c r="M46" s="7">
        <v>879.48</v>
      </c>
      <c r="N46" s="6">
        <v>177</v>
      </c>
      <c r="O46" s="6">
        <v>50</v>
      </c>
      <c r="P46" s="6">
        <v>2024</v>
      </c>
      <c r="Q46" s="4" t="s">
        <v>353</v>
      </c>
      <c r="R46" s="6">
        <v>2</v>
      </c>
      <c r="S46" s="6">
        <f>MONTH(PQ_cleaned_data[[#This Row],[Order Date]])</f>
        <v>4</v>
      </c>
    </row>
    <row r="47" spans="1:19">
      <c r="A47" s="4" t="s">
        <v>137</v>
      </c>
      <c r="B47" s="5">
        <v>45318</v>
      </c>
      <c r="C47" s="4" t="s">
        <v>84</v>
      </c>
      <c r="D47" s="4" t="s">
        <v>85</v>
      </c>
      <c r="E47" s="4" t="s">
        <v>86</v>
      </c>
      <c r="F47" s="4" t="s">
        <v>82</v>
      </c>
      <c r="G47" s="4" t="s">
        <v>99</v>
      </c>
      <c r="H47" s="6">
        <v>14</v>
      </c>
      <c r="I47" s="7">
        <v>211.86</v>
      </c>
      <c r="J47" s="7">
        <v>2966.04</v>
      </c>
      <c r="K47" s="7">
        <v>119.22</v>
      </c>
      <c r="L47" s="8">
        <v>1669.08</v>
      </c>
      <c r="M47" s="7">
        <v>1296.96</v>
      </c>
      <c r="N47" s="6">
        <v>31</v>
      </c>
      <c r="O47" s="6">
        <v>50</v>
      </c>
      <c r="P47" s="6">
        <v>2024</v>
      </c>
      <c r="Q47" s="4" t="s">
        <v>352</v>
      </c>
      <c r="R47" s="6">
        <v>1</v>
      </c>
      <c r="S47" s="6">
        <f>MONTH(PQ_cleaned_data[[#This Row],[Order Date]])</f>
        <v>1</v>
      </c>
    </row>
    <row r="48" spans="1:19">
      <c r="A48" s="4" t="s">
        <v>138</v>
      </c>
      <c r="B48" s="5">
        <v>45434</v>
      </c>
      <c r="C48" s="4" t="s">
        <v>96</v>
      </c>
      <c r="D48" s="4" t="s">
        <v>97</v>
      </c>
      <c r="E48" s="4" t="s">
        <v>67</v>
      </c>
      <c r="F48" s="4" t="s">
        <v>106</v>
      </c>
      <c r="G48" s="4" t="s">
        <v>92</v>
      </c>
      <c r="H48" s="6">
        <v>18</v>
      </c>
      <c r="I48" s="7">
        <v>114.97</v>
      </c>
      <c r="J48" s="7">
        <v>2069.46</v>
      </c>
      <c r="K48" s="7">
        <v>46.23</v>
      </c>
      <c r="L48" s="8">
        <v>832.14</v>
      </c>
      <c r="M48" s="7">
        <v>1237.32</v>
      </c>
      <c r="N48" s="6">
        <v>49</v>
      </c>
      <c r="O48" s="6">
        <v>30</v>
      </c>
      <c r="P48" s="6">
        <v>2024</v>
      </c>
      <c r="Q48" s="4" t="s">
        <v>354</v>
      </c>
      <c r="R48" s="6">
        <v>2</v>
      </c>
      <c r="S48" s="6">
        <f>MONTH(PQ_cleaned_data[[#This Row],[Order Date]])</f>
        <v>5</v>
      </c>
    </row>
    <row r="49" spans="1:19">
      <c r="A49" s="4" t="s">
        <v>139</v>
      </c>
      <c r="B49" s="5">
        <v>45330</v>
      </c>
      <c r="C49" s="4" t="s">
        <v>59</v>
      </c>
      <c r="D49" s="4" t="s">
        <v>60</v>
      </c>
      <c r="E49" s="4" t="s">
        <v>61</v>
      </c>
      <c r="F49" s="4" t="s">
        <v>106</v>
      </c>
      <c r="G49" s="4" t="s">
        <v>63</v>
      </c>
      <c r="H49" s="6">
        <v>7</v>
      </c>
      <c r="I49" s="7">
        <v>45.3</v>
      </c>
      <c r="J49" s="7">
        <v>317.10000000000002</v>
      </c>
      <c r="K49" s="7">
        <v>23.75</v>
      </c>
      <c r="L49" s="8">
        <v>166.25</v>
      </c>
      <c r="M49" s="7">
        <v>150.85</v>
      </c>
      <c r="N49" s="6">
        <v>160</v>
      </c>
      <c r="O49" s="6">
        <v>50</v>
      </c>
      <c r="P49" s="6">
        <v>2024</v>
      </c>
      <c r="Q49" s="4" t="s">
        <v>348</v>
      </c>
      <c r="R49" s="6">
        <v>1</v>
      </c>
      <c r="S49" s="6">
        <f>MONTH(PQ_cleaned_data[[#This Row],[Order Date]])</f>
        <v>2</v>
      </c>
    </row>
    <row r="50" spans="1:19">
      <c r="A50" s="4" t="s">
        <v>140</v>
      </c>
      <c r="B50" s="5">
        <v>45463</v>
      </c>
      <c r="C50" s="4" t="s">
        <v>70</v>
      </c>
      <c r="D50" s="4" t="s">
        <v>71</v>
      </c>
      <c r="E50" s="4" t="s">
        <v>72</v>
      </c>
      <c r="F50" s="4" t="s">
        <v>76</v>
      </c>
      <c r="G50" s="4" t="s">
        <v>92</v>
      </c>
      <c r="H50" s="6">
        <v>8</v>
      </c>
      <c r="I50" s="7">
        <v>31.42</v>
      </c>
      <c r="J50" s="7">
        <v>251.36</v>
      </c>
      <c r="K50" s="7">
        <v>15.56</v>
      </c>
      <c r="L50" s="8">
        <v>124.48</v>
      </c>
      <c r="M50" s="7">
        <v>126.88</v>
      </c>
      <c r="N50" s="6">
        <v>87</v>
      </c>
      <c r="O50" s="6">
        <v>20</v>
      </c>
      <c r="P50" s="6">
        <v>2024</v>
      </c>
      <c r="Q50" s="4" t="s">
        <v>349</v>
      </c>
      <c r="R50" s="6">
        <v>2</v>
      </c>
      <c r="S50" s="6">
        <f>MONTH(PQ_cleaned_data[[#This Row],[Order Date]])</f>
        <v>6</v>
      </c>
    </row>
    <row r="51" spans="1:19">
      <c r="A51" s="4" t="s">
        <v>141</v>
      </c>
      <c r="B51" s="5">
        <v>45340</v>
      </c>
      <c r="C51" s="4" t="s">
        <v>78</v>
      </c>
      <c r="D51" s="4" t="s">
        <v>79</v>
      </c>
      <c r="E51" s="4" t="s">
        <v>72</v>
      </c>
      <c r="F51" s="4" t="s">
        <v>62</v>
      </c>
      <c r="G51" s="4" t="s">
        <v>88</v>
      </c>
      <c r="H51" s="6">
        <v>19</v>
      </c>
      <c r="I51" s="7">
        <v>35.58</v>
      </c>
      <c r="J51" s="7">
        <v>676.02</v>
      </c>
      <c r="K51" s="7">
        <v>28.1</v>
      </c>
      <c r="L51" s="8">
        <v>533.9</v>
      </c>
      <c r="M51" s="7">
        <v>142.12</v>
      </c>
      <c r="N51" s="6">
        <v>8</v>
      </c>
      <c r="O51" s="6">
        <v>30</v>
      </c>
      <c r="P51" s="6">
        <v>2024</v>
      </c>
      <c r="Q51" s="4" t="s">
        <v>348</v>
      </c>
      <c r="R51" s="6">
        <v>1</v>
      </c>
      <c r="S51" s="6">
        <f>MONTH(PQ_cleaned_data[[#This Row],[Order Date]])</f>
        <v>2</v>
      </c>
    </row>
    <row r="52" spans="1:19">
      <c r="A52" s="4" t="s">
        <v>142</v>
      </c>
      <c r="B52" s="5">
        <v>45446</v>
      </c>
      <c r="C52" s="4" t="s">
        <v>96</v>
      </c>
      <c r="D52" s="4" t="s">
        <v>97</v>
      </c>
      <c r="E52" s="4" t="s">
        <v>67</v>
      </c>
      <c r="F52" s="4" t="s">
        <v>62</v>
      </c>
      <c r="G52" s="4" t="s">
        <v>99</v>
      </c>
      <c r="H52" s="6">
        <v>3</v>
      </c>
      <c r="I52" s="7">
        <v>29.95</v>
      </c>
      <c r="J52" s="7">
        <v>89.85</v>
      </c>
      <c r="K52" s="7">
        <v>12.65</v>
      </c>
      <c r="L52" s="8">
        <v>37.950000000000003</v>
      </c>
      <c r="M52" s="7">
        <v>51.9</v>
      </c>
      <c r="N52" s="6">
        <v>13</v>
      </c>
      <c r="O52" s="6">
        <v>30</v>
      </c>
      <c r="P52" s="6">
        <v>2024</v>
      </c>
      <c r="Q52" s="4" t="s">
        <v>349</v>
      </c>
      <c r="R52" s="6">
        <v>2</v>
      </c>
      <c r="S52" s="6">
        <f>MONTH(PQ_cleaned_data[[#This Row],[Order Date]])</f>
        <v>6</v>
      </c>
    </row>
    <row r="53" spans="1:19">
      <c r="A53" s="4" t="s">
        <v>143</v>
      </c>
      <c r="B53" s="5">
        <v>45611</v>
      </c>
      <c r="C53" s="4" t="s">
        <v>65</v>
      </c>
      <c r="D53" s="4" t="s">
        <v>66</v>
      </c>
      <c r="E53" s="4" t="s">
        <v>67</v>
      </c>
      <c r="F53" s="4" t="s">
        <v>106</v>
      </c>
      <c r="G53" s="4" t="s">
        <v>68</v>
      </c>
      <c r="H53" s="6">
        <v>15</v>
      </c>
      <c r="I53" s="7">
        <v>99.06</v>
      </c>
      <c r="J53" s="7">
        <v>1182</v>
      </c>
      <c r="K53" s="7">
        <v>71.13</v>
      </c>
      <c r="L53" s="8">
        <v>1066.95</v>
      </c>
      <c r="M53" s="7">
        <v>418.95</v>
      </c>
      <c r="N53" s="6">
        <v>158</v>
      </c>
      <c r="O53" s="6">
        <v>50</v>
      </c>
      <c r="P53" s="6">
        <v>2024</v>
      </c>
      <c r="Q53" s="4" t="s">
        <v>355</v>
      </c>
      <c r="R53" s="6">
        <v>4</v>
      </c>
      <c r="S53" s="6">
        <f>MONTH(PQ_cleaned_data[[#This Row],[Order Date]])</f>
        <v>11</v>
      </c>
    </row>
    <row r="54" spans="1:19">
      <c r="A54" s="4" t="s">
        <v>144</v>
      </c>
      <c r="B54" s="5">
        <v>45592</v>
      </c>
      <c r="C54" s="4" t="s">
        <v>59</v>
      </c>
      <c r="D54" s="4" t="s">
        <v>60</v>
      </c>
      <c r="E54" s="4" t="s">
        <v>61</v>
      </c>
      <c r="F54" s="4" t="s">
        <v>119</v>
      </c>
      <c r="G54" s="4" t="s">
        <v>92</v>
      </c>
      <c r="H54" s="6">
        <v>4</v>
      </c>
      <c r="I54" s="7">
        <v>30.16</v>
      </c>
      <c r="J54" s="7">
        <v>120.64</v>
      </c>
      <c r="K54" s="7">
        <v>19.239999999999998</v>
      </c>
      <c r="L54" s="8">
        <v>76.959999999999994</v>
      </c>
      <c r="M54" s="7">
        <v>43.68</v>
      </c>
      <c r="N54" s="6">
        <v>17</v>
      </c>
      <c r="O54" s="6">
        <v>50</v>
      </c>
      <c r="P54" s="6">
        <v>2024</v>
      </c>
      <c r="Q54" s="4" t="s">
        <v>345</v>
      </c>
      <c r="R54" s="6">
        <v>4</v>
      </c>
      <c r="S54" s="6">
        <f>MONTH(PQ_cleaned_data[[#This Row],[Order Date]])</f>
        <v>10</v>
      </c>
    </row>
    <row r="55" spans="1:19">
      <c r="A55" s="4" t="s">
        <v>145</v>
      </c>
      <c r="B55" s="5">
        <v>45609</v>
      </c>
      <c r="C55" s="4" t="s">
        <v>78</v>
      </c>
      <c r="D55" s="4" t="s">
        <v>79</v>
      </c>
      <c r="E55" s="4" t="s">
        <v>72</v>
      </c>
      <c r="F55" s="4" t="s">
        <v>82</v>
      </c>
      <c r="G55" s="4" t="s">
        <v>92</v>
      </c>
      <c r="H55" s="6">
        <v>6</v>
      </c>
      <c r="I55" s="7">
        <v>64.569999999999993</v>
      </c>
      <c r="J55" s="7">
        <v>387.42</v>
      </c>
      <c r="K55" s="7">
        <v>46.41</v>
      </c>
      <c r="L55" s="8">
        <v>278.45999999999998</v>
      </c>
      <c r="M55" s="7">
        <v>108.96</v>
      </c>
      <c r="N55" s="6">
        <v>15</v>
      </c>
      <c r="O55" s="6">
        <v>20</v>
      </c>
      <c r="P55" s="6">
        <v>2024</v>
      </c>
      <c r="Q55" s="4" t="s">
        <v>355</v>
      </c>
      <c r="R55" s="6">
        <v>4</v>
      </c>
      <c r="S55" s="6">
        <f>MONTH(PQ_cleaned_data[[#This Row],[Order Date]])</f>
        <v>11</v>
      </c>
    </row>
    <row r="56" spans="1:19">
      <c r="A56" s="4" t="s">
        <v>146</v>
      </c>
      <c r="B56" s="5">
        <v>45569</v>
      </c>
      <c r="C56" s="4" t="s">
        <v>111</v>
      </c>
      <c r="D56" s="4" t="s">
        <v>112</v>
      </c>
      <c r="E56" s="4" t="s">
        <v>67</v>
      </c>
      <c r="F56" s="4" t="s">
        <v>62</v>
      </c>
      <c r="G56" s="4" t="s">
        <v>92</v>
      </c>
      <c r="H56" s="6">
        <v>5</v>
      </c>
      <c r="I56" s="7">
        <v>120.03</v>
      </c>
      <c r="J56" s="7">
        <v>1182</v>
      </c>
      <c r="K56" s="7">
        <v>76.98</v>
      </c>
      <c r="L56" s="8">
        <v>384.9</v>
      </c>
      <c r="M56" s="7">
        <v>215.25</v>
      </c>
      <c r="N56" s="6">
        <v>74</v>
      </c>
      <c r="O56" s="6">
        <v>30</v>
      </c>
      <c r="P56" s="6">
        <v>2024</v>
      </c>
      <c r="Q56" s="4" t="s">
        <v>345</v>
      </c>
      <c r="R56" s="6">
        <v>4</v>
      </c>
      <c r="S56" s="6">
        <f>MONTH(PQ_cleaned_data[[#This Row],[Order Date]])</f>
        <v>10</v>
      </c>
    </row>
    <row r="57" spans="1:19">
      <c r="A57" s="4" t="s">
        <v>147</v>
      </c>
      <c r="B57" s="5">
        <v>45578</v>
      </c>
      <c r="C57" s="4" t="s">
        <v>65</v>
      </c>
      <c r="D57" s="4" t="s">
        <v>66</v>
      </c>
      <c r="E57" s="4" t="s">
        <v>67</v>
      </c>
      <c r="F57" s="4" t="s">
        <v>106</v>
      </c>
      <c r="G57" s="4" t="s">
        <v>68</v>
      </c>
      <c r="H57" s="6">
        <v>14</v>
      </c>
      <c r="I57" s="7">
        <v>89.23</v>
      </c>
      <c r="J57" s="7">
        <v>1249.22</v>
      </c>
      <c r="K57" s="7">
        <v>70.55</v>
      </c>
      <c r="L57" s="8">
        <v>987.7</v>
      </c>
      <c r="M57" s="7">
        <v>261.52</v>
      </c>
      <c r="N57" s="6">
        <v>163</v>
      </c>
      <c r="O57" s="6">
        <v>20</v>
      </c>
      <c r="P57" s="6">
        <v>2024</v>
      </c>
      <c r="Q57" s="4" t="s">
        <v>345</v>
      </c>
      <c r="R57" s="6">
        <v>4</v>
      </c>
      <c r="S57" s="6">
        <f>MONTH(PQ_cleaned_data[[#This Row],[Order Date]])</f>
        <v>10</v>
      </c>
    </row>
    <row r="58" spans="1:19">
      <c r="A58" s="4" t="s">
        <v>148</v>
      </c>
      <c r="B58" s="5">
        <v>45461</v>
      </c>
      <c r="C58" s="4" t="s">
        <v>84</v>
      </c>
      <c r="D58" s="4" t="s">
        <v>85</v>
      </c>
      <c r="E58" s="4" t="s">
        <v>86</v>
      </c>
      <c r="F58" s="4" t="s">
        <v>62</v>
      </c>
      <c r="G58" s="4" t="s">
        <v>88</v>
      </c>
      <c r="H58" s="6">
        <v>20</v>
      </c>
      <c r="I58" s="7">
        <v>78.41</v>
      </c>
      <c r="J58" s="7">
        <v>1568.2</v>
      </c>
      <c r="K58" s="7">
        <v>41.67</v>
      </c>
      <c r="L58" s="8">
        <v>833.4</v>
      </c>
      <c r="M58" s="7">
        <v>734.8</v>
      </c>
      <c r="N58" s="6">
        <v>26</v>
      </c>
      <c r="O58" s="6">
        <v>30</v>
      </c>
      <c r="P58" s="6">
        <v>2024</v>
      </c>
      <c r="Q58" s="4" t="s">
        <v>349</v>
      </c>
      <c r="R58" s="6">
        <v>2</v>
      </c>
      <c r="S58" s="6">
        <f>MONTH(PQ_cleaned_data[[#This Row],[Order Date]])</f>
        <v>6</v>
      </c>
    </row>
    <row r="59" spans="1:19">
      <c r="A59" s="4" t="s">
        <v>149</v>
      </c>
      <c r="B59" s="5">
        <v>45611</v>
      </c>
      <c r="C59" s="4" t="s">
        <v>59</v>
      </c>
      <c r="D59" s="4" t="s">
        <v>60</v>
      </c>
      <c r="E59" s="4" t="s">
        <v>61</v>
      </c>
      <c r="F59" s="4" t="s">
        <v>62</v>
      </c>
      <c r="G59" s="4" t="s">
        <v>74</v>
      </c>
      <c r="H59" s="6">
        <v>8</v>
      </c>
      <c r="I59" s="7">
        <v>122.78</v>
      </c>
      <c r="J59" s="7">
        <v>1182</v>
      </c>
      <c r="K59" s="7">
        <v>71.95</v>
      </c>
      <c r="L59" s="8">
        <v>694.8</v>
      </c>
      <c r="M59" s="7">
        <v>287.44</v>
      </c>
      <c r="N59" s="6">
        <v>84</v>
      </c>
      <c r="O59" s="6">
        <v>50</v>
      </c>
      <c r="P59" s="6">
        <v>2024</v>
      </c>
      <c r="Q59" s="4" t="s">
        <v>355</v>
      </c>
      <c r="R59" s="6">
        <v>4</v>
      </c>
      <c r="S59" s="6">
        <f>MONTH(PQ_cleaned_data[[#This Row],[Order Date]])</f>
        <v>11</v>
      </c>
    </row>
    <row r="60" spans="1:19">
      <c r="A60" s="4" t="s">
        <v>150</v>
      </c>
      <c r="B60" s="5">
        <v>45475</v>
      </c>
      <c r="C60" s="4" t="s">
        <v>65</v>
      </c>
      <c r="D60" s="4" t="s">
        <v>66</v>
      </c>
      <c r="E60" s="4" t="s">
        <v>67</v>
      </c>
      <c r="F60" s="4" t="s">
        <v>76</v>
      </c>
      <c r="G60" s="4" t="s">
        <v>63</v>
      </c>
      <c r="H60" s="6">
        <v>18</v>
      </c>
      <c r="I60" s="7">
        <v>33.22</v>
      </c>
      <c r="J60" s="7">
        <v>597.96</v>
      </c>
      <c r="K60" s="7">
        <v>17.149999999999999</v>
      </c>
      <c r="L60" s="8">
        <v>308.7</v>
      </c>
      <c r="M60" s="7">
        <v>289.26</v>
      </c>
      <c r="N60" s="6">
        <v>49</v>
      </c>
      <c r="O60" s="6">
        <v>50</v>
      </c>
      <c r="P60" s="6">
        <v>2024</v>
      </c>
      <c r="Q60" s="4" t="s">
        <v>350</v>
      </c>
      <c r="R60" s="6">
        <v>3</v>
      </c>
      <c r="S60" s="6">
        <f>MONTH(PQ_cleaned_data[[#This Row],[Order Date]])</f>
        <v>7</v>
      </c>
    </row>
    <row r="61" spans="1:19">
      <c r="A61" s="4" t="s">
        <v>151</v>
      </c>
      <c r="B61" s="5">
        <v>45426</v>
      </c>
      <c r="C61" s="4" t="s">
        <v>111</v>
      </c>
      <c r="D61" s="4" t="s">
        <v>112</v>
      </c>
      <c r="E61" s="4" t="s">
        <v>67</v>
      </c>
      <c r="F61" s="4" t="s">
        <v>103</v>
      </c>
      <c r="G61" s="4" t="s">
        <v>88</v>
      </c>
      <c r="H61" s="6">
        <v>11</v>
      </c>
      <c r="I61" s="7">
        <v>212.65</v>
      </c>
      <c r="J61" s="7">
        <v>2339.15</v>
      </c>
      <c r="K61" s="7">
        <v>105.98</v>
      </c>
      <c r="L61" s="8">
        <v>1165.78</v>
      </c>
      <c r="M61" s="7">
        <v>1173.3699999999999</v>
      </c>
      <c r="N61" s="6">
        <v>50</v>
      </c>
      <c r="O61" s="6">
        <v>20</v>
      </c>
      <c r="P61" s="6">
        <v>2024</v>
      </c>
      <c r="Q61" s="4" t="s">
        <v>354</v>
      </c>
      <c r="R61" s="6">
        <v>2</v>
      </c>
      <c r="S61" s="6">
        <f>MONTH(PQ_cleaned_data[[#This Row],[Order Date]])</f>
        <v>5</v>
      </c>
    </row>
    <row r="62" spans="1:19">
      <c r="A62" s="4" t="s">
        <v>152</v>
      </c>
      <c r="B62" s="5">
        <v>45348</v>
      </c>
      <c r="C62" s="4" t="s">
        <v>84</v>
      </c>
      <c r="D62" s="4" t="s">
        <v>85</v>
      </c>
      <c r="E62" s="4" t="s">
        <v>86</v>
      </c>
      <c r="F62" s="4" t="s">
        <v>103</v>
      </c>
      <c r="G62" s="4" t="s">
        <v>92</v>
      </c>
      <c r="H62" s="6">
        <v>7</v>
      </c>
      <c r="I62" s="7">
        <v>79.739999999999995</v>
      </c>
      <c r="J62" s="7">
        <v>558.17999999999995</v>
      </c>
      <c r="K62" s="7">
        <v>39.56</v>
      </c>
      <c r="L62" s="8">
        <v>276.92</v>
      </c>
      <c r="M62" s="7">
        <v>281.26</v>
      </c>
      <c r="N62" s="6">
        <v>95</v>
      </c>
      <c r="O62" s="6">
        <v>50</v>
      </c>
      <c r="P62" s="6">
        <v>2024</v>
      </c>
      <c r="Q62" s="4" t="s">
        <v>348</v>
      </c>
      <c r="R62" s="6">
        <v>1</v>
      </c>
      <c r="S62" s="6">
        <f>MONTH(PQ_cleaned_data[[#This Row],[Order Date]])</f>
        <v>2</v>
      </c>
    </row>
    <row r="63" spans="1:19">
      <c r="A63" s="4" t="s">
        <v>153</v>
      </c>
      <c r="B63" s="5">
        <v>45325</v>
      </c>
      <c r="C63" s="4" t="s">
        <v>90</v>
      </c>
      <c r="D63" s="4" t="s">
        <v>91</v>
      </c>
      <c r="E63" s="4" t="s">
        <v>72</v>
      </c>
      <c r="F63" s="4" t="s">
        <v>62</v>
      </c>
      <c r="G63" s="4" t="s">
        <v>88</v>
      </c>
      <c r="H63" s="6">
        <v>5</v>
      </c>
      <c r="I63" s="7">
        <v>221.27</v>
      </c>
      <c r="J63" s="7">
        <v>1106.3499999999999</v>
      </c>
      <c r="K63" s="7">
        <v>100.08</v>
      </c>
      <c r="L63" s="8">
        <v>500.4</v>
      </c>
      <c r="M63" s="7">
        <v>605.95000000000005</v>
      </c>
      <c r="N63" s="6">
        <v>48</v>
      </c>
      <c r="O63" s="6">
        <v>20</v>
      </c>
      <c r="P63" s="6">
        <v>2024</v>
      </c>
      <c r="Q63" s="4" t="s">
        <v>348</v>
      </c>
      <c r="R63" s="6">
        <v>1</v>
      </c>
      <c r="S63" s="6">
        <f>MONTH(PQ_cleaned_data[[#This Row],[Order Date]])</f>
        <v>2</v>
      </c>
    </row>
    <row r="64" spans="1:19">
      <c r="A64" s="4" t="s">
        <v>154</v>
      </c>
      <c r="B64" s="5">
        <v>45315</v>
      </c>
      <c r="C64" s="4" t="s">
        <v>59</v>
      </c>
      <c r="D64" s="4" t="s">
        <v>60</v>
      </c>
      <c r="E64" s="4" t="s">
        <v>61</v>
      </c>
      <c r="F64" s="4" t="s">
        <v>82</v>
      </c>
      <c r="G64" s="4" t="s">
        <v>74</v>
      </c>
      <c r="H64" s="6">
        <v>18</v>
      </c>
      <c r="I64" s="7">
        <v>77.069999999999993</v>
      </c>
      <c r="J64" s="7">
        <v>1387.26</v>
      </c>
      <c r="K64" s="7">
        <v>35.409999999999997</v>
      </c>
      <c r="L64" s="8">
        <v>637.38</v>
      </c>
      <c r="M64" s="7">
        <v>749.88</v>
      </c>
      <c r="N64" s="6">
        <v>63</v>
      </c>
      <c r="O64" s="6">
        <v>20</v>
      </c>
      <c r="P64" s="6">
        <v>2024</v>
      </c>
      <c r="Q64" s="4" t="s">
        <v>352</v>
      </c>
      <c r="R64" s="6">
        <v>1</v>
      </c>
      <c r="S64" s="6">
        <f>MONTH(PQ_cleaned_data[[#This Row],[Order Date]])</f>
        <v>1</v>
      </c>
    </row>
    <row r="65" spans="1:19">
      <c r="A65" s="4" t="s">
        <v>155</v>
      </c>
      <c r="B65" s="5">
        <v>45333</v>
      </c>
      <c r="C65" s="4" t="s">
        <v>78</v>
      </c>
      <c r="D65" s="4" t="s">
        <v>79</v>
      </c>
      <c r="E65" s="4" t="s">
        <v>72</v>
      </c>
      <c r="F65" s="4" t="s">
        <v>76</v>
      </c>
      <c r="G65" s="4" t="s">
        <v>99</v>
      </c>
      <c r="H65" s="6">
        <v>20</v>
      </c>
      <c r="I65" s="7">
        <v>20.89</v>
      </c>
      <c r="J65" s="7">
        <v>417.8</v>
      </c>
      <c r="K65" s="7">
        <v>12.61</v>
      </c>
      <c r="L65" s="8">
        <v>252.2</v>
      </c>
      <c r="M65" s="7">
        <v>165.6</v>
      </c>
      <c r="N65" s="6">
        <v>192</v>
      </c>
      <c r="O65" s="6">
        <v>50</v>
      </c>
      <c r="P65" s="6">
        <v>2024</v>
      </c>
      <c r="Q65" s="4" t="s">
        <v>348</v>
      </c>
      <c r="R65" s="6">
        <v>1</v>
      </c>
      <c r="S65" s="6">
        <f>MONTH(PQ_cleaned_data[[#This Row],[Order Date]])</f>
        <v>2</v>
      </c>
    </row>
    <row r="66" spans="1:19">
      <c r="A66" s="4" t="s">
        <v>156</v>
      </c>
      <c r="B66" s="5">
        <v>45539</v>
      </c>
      <c r="C66" s="4" t="s">
        <v>78</v>
      </c>
      <c r="D66" s="4" t="s">
        <v>79</v>
      </c>
      <c r="E66" s="4" t="s">
        <v>72</v>
      </c>
      <c r="F66" s="4" t="s">
        <v>62</v>
      </c>
      <c r="G66" s="4" t="s">
        <v>74</v>
      </c>
      <c r="H66" s="6">
        <v>16</v>
      </c>
      <c r="I66" s="7">
        <v>70.739999999999995</v>
      </c>
      <c r="J66" s="7">
        <v>1131.8399999999999</v>
      </c>
      <c r="K66" s="7">
        <v>39.64</v>
      </c>
      <c r="L66" s="8">
        <v>634.24</v>
      </c>
      <c r="M66" s="7">
        <v>497.6</v>
      </c>
      <c r="N66" s="6">
        <v>149</v>
      </c>
      <c r="O66" s="6">
        <v>50</v>
      </c>
      <c r="P66" s="6">
        <v>2024</v>
      </c>
      <c r="Q66" s="4" t="s">
        <v>347</v>
      </c>
      <c r="R66" s="6">
        <v>3</v>
      </c>
      <c r="S66" s="6">
        <f>MONTH(PQ_cleaned_data[[#This Row],[Order Date]])</f>
        <v>9</v>
      </c>
    </row>
    <row r="67" spans="1:19">
      <c r="A67" s="4" t="s">
        <v>157</v>
      </c>
      <c r="B67" s="5">
        <v>45448</v>
      </c>
      <c r="C67" s="4" t="s">
        <v>96</v>
      </c>
      <c r="D67" s="4" t="s">
        <v>97</v>
      </c>
      <c r="E67" s="4" t="s">
        <v>67</v>
      </c>
      <c r="F67" s="4" t="s">
        <v>106</v>
      </c>
      <c r="G67" s="4" t="s">
        <v>74</v>
      </c>
      <c r="H67" s="6">
        <v>13</v>
      </c>
      <c r="I67" s="7">
        <v>144.99</v>
      </c>
      <c r="J67" s="7">
        <v>1884.87</v>
      </c>
      <c r="K67" s="7">
        <v>112.25</v>
      </c>
      <c r="L67" s="8">
        <v>1459.25</v>
      </c>
      <c r="M67" s="7">
        <v>425.62</v>
      </c>
      <c r="N67" s="6">
        <v>95</v>
      </c>
      <c r="O67" s="6">
        <v>30</v>
      </c>
      <c r="P67" s="6">
        <v>2024</v>
      </c>
      <c r="Q67" s="4" t="s">
        <v>349</v>
      </c>
      <c r="R67" s="6">
        <v>2</v>
      </c>
      <c r="S67" s="6">
        <f>MONTH(PQ_cleaned_data[[#This Row],[Order Date]])</f>
        <v>6</v>
      </c>
    </row>
    <row r="68" spans="1:19">
      <c r="A68" s="4" t="s">
        <v>158</v>
      </c>
      <c r="B68" s="5">
        <v>45313</v>
      </c>
      <c r="C68" s="4" t="s">
        <v>78</v>
      </c>
      <c r="D68" s="4" t="s">
        <v>79</v>
      </c>
      <c r="E68" s="4" t="s">
        <v>72</v>
      </c>
      <c r="F68" s="4" t="s">
        <v>62</v>
      </c>
      <c r="G68" s="4" t="s">
        <v>68</v>
      </c>
      <c r="H68" s="6">
        <v>17</v>
      </c>
      <c r="I68" s="7">
        <v>157.18</v>
      </c>
      <c r="J68" s="7">
        <v>2672.06</v>
      </c>
      <c r="K68" s="7">
        <v>89.66</v>
      </c>
      <c r="L68" s="8">
        <v>1524.22</v>
      </c>
      <c r="M68" s="7">
        <v>1147.8399999999999</v>
      </c>
      <c r="N68" s="6">
        <v>119</v>
      </c>
      <c r="O68" s="6">
        <v>30</v>
      </c>
      <c r="P68" s="6">
        <v>2024</v>
      </c>
      <c r="Q68" s="4" t="s">
        <v>352</v>
      </c>
      <c r="R68" s="6">
        <v>1</v>
      </c>
      <c r="S68" s="6">
        <f>MONTH(PQ_cleaned_data[[#This Row],[Order Date]])</f>
        <v>1</v>
      </c>
    </row>
    <row r="69" spans="1:19">
      <c r="A69" s="4" t="s">
        <v>159</v>
      </c>
      <c r="B69" s="5">
        <v>45411</v>
      </c>
      <c r="C69" s="4" t="s">
        <v>70</v>
      </c>
      <c r="D69" s="4" t="s">
        <v>71</v>
      </c>
      <c r="E69" s="4" t="s">
        <v>72</v>
      </c>
      <c r="F69" s="4" t="s">
        <v>106</v>
      </c>
      <c r="G69" s="4" t="s">
        <v>88</v>
      </c>
      <c r="H69" s="6">
        <v>3</v>
      </c>
      <c r="I69" s="7">
        <v>92.98</v>
      </c>
      <c r="J69" s="7">
        <v>1182</v>
      </c>
      <c r="K69" s="7">
        <v>71.95</v>
      </c>
      <c r="L69" s="8">
        <v>120.78</v>
      </c>
      <c r="M69" s="7">
        <v>158.16</v>
      </c>
      <c r="N69" s="6">
        <v>128</v>
      </c>
      <c r="O69" s="6">
        <v>50</v>
      </c>
      <c r="P69" s="6">
        <v>2024</v>
      </c>
      <c r="Q69" s="4" t="s">
        <v>353</v>
      </c>
      <c r="R69" s="6">
        <v>2</v>
      </c>
      <c r="S69" s="6">
        <f>MONTH(PQ_cleaned_data[[#This Row],[Order Date]])</f>
        <v>4</v>
      </c>
    </row>
    <row r="70" spans="1:19">
      <c r="A70" s="4" t="s">
        <v>160</v>
      </c>
      <c r="B70" s="5">
        <v>45394</v>
      </c>
      <c r="C70" s="4" t="s">
        <v>84</v>
      </c>
      <c r="D70" s="4" t="s">
        <v>85</v>
      </c>
      <c r="E70" s="4" t="s">
        <v>86</v>
      </c>
      <c r="F70" s="4" t="s">
        <v>82</v>
      </c>
      <c r="G70" s="4" t="s">
        <v>74</v>
      </c>
      <c r="H70" s="6">
        <v>7</v>
      </c>
      <c r="I70" s="7">
        <v>170.4</v>
      </c>
      <c r="J70" s="7">
        <v>1192.8</v>
      </c>
      <c r="K70" s="7">
        <v>85.2</v>
      </c>
      <c r="L70" s="8">
        <v>596.4</v>
      </c>
      <c r="M70" s="7">
        <v>596.4</v>
      </c>
      <c r="N70" s="6">
        <v>190</v>
      </c>
      <c r="O70" s="6">
        <v>50</v>
      </c>
      <c r="P70" s="6">
        <v>2024</v>
      </c>
      <c r="Q70" s="4" t="s">
        <v>353</v>
      </c>
      <c r="R70" s="6">
        <v>2</v>
      </c>
      <c r="S70" s="6">
        <f>MONTH(PQ_cleaned_data[[#This Row],[Order Date]])</f>
        <v>4</v>
      </c>
    </row>
    <row r="71" spans="1:19">
      <c r="A71" s="4" t="s">
        <v>161</v>
      </c>
      <c r="B71" s="5">
        <v>45570</v>
      </c>
      <c r="C71" s="4" t="s">
        <v>70</v>
      </c>
      <c r="D71" s="4" t="s">
        <v>71</v>
      </c>
      <c r="E71" s="4" t="s">
        <v>72</v>
      </c>
      <c r="F71" s="4" t="s">
        <v>62</v>
      </c>
      <c r="G71" s="4" t="s">
        <v>88</v>
      </c>
      <c r="H71" s="6">
        <v>1</v>
      </c>
      <c r="I71" s="7">
        <v>193.67</v>
      </c>
      <c r="J71" s="7">
        <v>193.67</v>
      </c>
      <c r="K71" s="7">
        <v>99.3</v>
      </c>
      <c r="L71" s="8">
        <v>99.3</v>
      </c>
      <c r="M71" s="7">
        <v>94.37</v>
      </c>
      <c r="N71" s="6">
        <v>88</v>
      </c>
      <c r="O71" s="6">
        <v>30</v>
      </c>
      <c r="P71" s="6">
        <v>2024</v>
      </c>
      <c r="Q71" s="4" t="s">
        <v>345</v>
      </c>
      <c r="R71" s="6">
        <v>4</v>
      </c>
      <c r="S71" s="6">
        <f>MONTH(PQ_cleaned_data[[#This Row],[Order Date]])</f>
        <v>10</v>
      </c>
    </row>
    <row r="72" spans="1:19">
      <c r="A72" s="4" t="s">
        <v>162</v>
      </c>
      <c r="B72" s="5">
        <v>45368</v>
      </c>
      <c r="C72" s="4" t="s">
        <v>96</v>
      </c>
      <c r="D72" s="4" t="s">
        <v>97</v>
      </c>
      <c r="E72" s="4" t="s">
        <v>67</v>
      </c>
      <c r="F72" s="4" t="s">
        <v>82</v>
      </c>
      <c r="G72" s="4" t="s">
        <v>88</v>
      </c>
      <c r="H72" s="6">
        <v>8</v>
      </c>
      <c r="I72" s="7">
        <v>60.6</v>
      </c>
      <c r="J72" s="7">
        <v>1182</v>
      </c>
      <c r="K72" s="7">
        <v>42.4</v>
      </c>
      <c r="L72" s="8">
        <v>339.2</v>
      </c>
      <c r="M72" s="7">
        <v>145.6</v>
      </c>
      <c r="N72" s="6">
        <v>121</v>
      </c>
      <c r="O72" s="6">
        <v>20</v>
      </c>
      <c r="P72" s="6">
        <v>2024</v>
      </c>
      <c r="Q72" s="4" t="s">
        <v>351</v>
      </c>
      <c r="R72" s="6">
        <v>1</v>
      </c>
      <c r="S72" s="6">
        <f>MONTH(PQ_cleaned_data[[#This Row],[Order Date]])</f>
        <v>3</v>
      </c>
    </row>
    <row r="73" spans="1:19">
      <c r="A73" s="4" t="s">
        <v>163</v>
      </c>
      <c r="B73" s="5">
        <v>45511</v>
      </c>
      <c r="C73" s="4" t="s">
        <v>96</v>
      </c>
      <c r="D73" s="4" t="s">
        <v>97</v>
      </c>
      <c r="E73" s="4" t="s">
        <v>67</v>
      </c>
      <c r="F73" s="4" t="s">
        <v>103</v>
      </c>
      <c r="G73" s="4" t="s">
        <v>92</v>
      </c>
      <c r="H73" s="6">
        <v>7</v>
      </c>
      <c r="I73" s="7">
        <v>112.48</v>
      </c>
      <c r="J73" s="7">
        <v>787.36</v>
      </c>
      <c r="K73" s="7">
        <v>83.37</v>
      </c>
      <c r="L73" s="8">
        <v>583.59</v>
      </c>
      <c r="M73" s="7">
        <v>203.77</v>
      </c>
      <c r="N73" s="6">
        <v>7</v>
      </c>
      <c r="O73" s="6">
        <v>30</v>
      </c>
      <c r="P73" s="6">
        <v>2024</v>
      </c>
      <c r="Q73" s="4" t="s">
        <v>346</v>
      </c>
      <c r="R73" s="6">
        <v>3</v>
      </c>
      <c r="S73" s="6">
        <f>MONTH(PQ_cleaned_data[[#This Row],[Order Date]])</f>
        <v>8</v>
      </c>
    </row>
    <row r="74" spans="1:19">
      <c r="A74" s="4" t="s">
        <v>164</v>
      </c>
      <c r="B74" s="5">
        <v>45473</v>
      </c>
      <c r="C74" s="4" t="s">
        <v>84</v>
      </c>
      <c r="D74" s="4" t="s">
        <v>85</v>
      </c>
      <c r="E74" s="4" t="s">
        <v>86</v>
      </c>
      <c r="F74" s="4" t="s">
        <v>82</v>
      </c>
      <c r="G74" s="4" t="s">
        <v>68</v>
      </c>
      <c r="H74" s="6">
        <v>8</v>
      </c>
      <c r="I74" s="7">
        <v>107.69</v>
      </c>
      <c r="J74" s="7">
        <v>1182</v>
      </c>
      <c r="K74" s="7">
        <v>72.62</v>
      </c>
      <c r="L74" s="8">
        <v>580.96</v>
      </c>
      <c r="M74" s="7">
        <v>280.56</v>
      </c>
      <c r="N74" s="6">
        <v>103</v>
      </c>
      <c r="O74" s="6">
        <v>50</v>
      </c>
      <c r="P74" s="6">
        <v>2024</v>
      </c>
      <c r="Q74" s="4" t="s">
        <v>349</v>
      </c>
      <c r="R74" s="6">
        <v>2</v>
      </c>
      <c r="S74" s="6">
        <f>MONTH(PQ_cleaned_data[[#This Row],[Order Date]])</f>
        <v>6</v>
      </c>
    </row>
    <row r="75" spans="1:19">
      <c r="A75" s="4" t="s">
        <v>165</v>
      </c>
      <c r="B75" s="5">
        <v>45461</v>
      </c>
      <c r="C75" s="4" t="s">
        <v>96</v>
      </c>
      <c r="D75" s="4" t="s">
        <v>97</v>
      </c>
      <c r="E75" s="4" t="s">
        <v>67</v>
      </c>
      <c r="F75" s="4" t="s">
        <v>62</v>
      </c>
      <c r="G75" s="4" t="s">
        <v>99</v>
      </c>
      <c r="H75" s="6">
        <v>13</v>
      </c>
      <c r="I75" s="7">
        <v>55.03</v>
      </c>
      <c r="J75" s="7">
        <v>715.39</v>
      </c>
      <c r="K75" s="7">
        <v>30.61</v>
      </c>
      <c r="L75" s="8">
        <v>397.93</v>
      </c>
      <c r="M75" s="7">
        <v>317.45999999999998</v>
      </c>
      <c r="N75" s="6">
        <v>136</v>
      </c>
      <c r="O75" s="6">
        <v>30</v>
      </c>
      <c r="P75" s="6">
        <v>2024</v>
      </c>
      <c r="Q75" s="4" t="s">
        <v>349</v>
      </c>
      <c r="R75" s="6">
        <v>2</v>
      </c>
      <c r="S75" s="6">
        <f>MONTH(PQ_cleaned_data[[#This Row],[Order Date]])</f>
        <v>6</v>
      </c>
    </row>
    <row r="76" spans="1:19">
      <c r="A76" s="4" t="s">
        <v>166</v>
      </c>
      <c r="B76" s="5">
        <v>45339</v>
      </c>
      <c r="C76" s="4" t="s">
        <v>111</v>
      </c>
      <c r="D76" s="4" t="s">
        <v>112</v>
      </c>
      <c r="E76" s="4" t="s">
        <v>67</v>
      </c>
      <c r="F76" s="4" t="s">
        <v>82</v>
      </c>
      <c r="G76" s="4" t="s">
        <v>88</v>
      </c>
      <c r="H76" s="6">
        <v>4</v>
      </c>
      <c r="I76" s="7">
        <v>170.35</v>
      </c>
      <c r="J76" s="7">
        <v>681.4</v>
      </c>
      <c r="K76" s="7">
        <v>80.239999999999995</v>
      </c>
      <c r="L76" s="8">
        <v>320.95999999999998</v>
      </c>
      <c r="M76" s="7">
        <v>360.44</v>
      </c>
      <c r="N76" s="6">
        <v>176</v>
      </c>
      <c r="O76" s="6">
        <v>50</v>
      </c>
      <c r="P76" s="6">
        <v>2024</v>
      </c>
      <c r="Q76" s="4" t="s">
        <v>348</v>
      </c>
      <c r="R76" s="6">
        <v>1</v>
      </c>
      <c r="S76" s="6">
        <f>MONTH(PQ_cleaned_data[[#This Row],[Order Date]])</f>
        <v>2</v>
      </c>
    </row>
    <row r="77" spans="1:19">
      <c r="A77" s="4" t="s">
        <v>167</v>
      </c>
      <c r="B77" s="5">
        <v>45411</v>
      </c>
      <c r="C77" s="4" t="s">
        <v>70</v>
      </c>
      <c r="D77" s="4" t="s">
        <v>71</v>
      </c>
      <c r="E77" s="4" t="s">
        <v>72</v>
      </c>
      <c r="F77" s="4" t="s">
        <v>103</v>
      </c>
      <c r="G77" s="4" t="s">
        <v>68</v>
      </c>
      <c r="H77" s="6">
        <v>17</v>
      </c>
      <c r="I77" s="7">
        <v>22.14</v>
      </c>
      <c r="J77" s="7">
        <v>376.38</v>
      </c>
      <c r="K77" s="7">
        <v>9.36</v>
      </c>
      <c r="L77" s="8">
        <v>159.12</v>
      </c>
      <c r="M77" s="7">
        <v>217.26</v>
      </c>
      <c r="N77" s="6">
        <v>132</v>
      </c>
      <c r="O77" s="6">
        <v>20</v>
      </c>
      <c r="P77" s="6">
        <v>2024</v>
      </c>
      <c r="Q77" s="4" t="s">
        <v>353</v>
      </c>
      <c r="R77" s="6">
        <v>2</v>
      </c>
      <c r="S77" s="6">
        <f>MONTH(PQ_cleaned_data[[#This Row],[Order Date]])</f>
        <v>4</v>
      </c>
    </row>
    <row r="78" spans="1:19">
      <c r="A78" s="4" t="s">
        <v>168</v>
      </c>
      <c r="B78" s="5">
        <v>45566</v>
      </c>
      <c r="C78" s="4" t="s">
        <v>96</v>
      </c>
      <c r="D78" s="4" t="s">
        <v>97</v>
      </c>
      <c r="E78" s="4" t="s">
        <v>67</v>
      </c>
      <c r="F78" s="4" t="s">
        <v>119</v>
      </c>
      <c r="G78" s="4" t="s">
        <v>68</v>
      </c>
      <c r="H78" s="6">
        <v>16</v>
      </c>
      <c r="I78" s="7">
        <v>187.07</v>
      </c>
      <c r="J78" s="7">
        <v>2993.12</v>
      </c>
      <c r="K78" s="7">
        <v>103.94</v>
      </c>
      <c r="L78" s="8">
        <v>1663.04</v>
      </c>
      <c r="M78" s="7">
        <v>1330.08</v>
      </c>
      <c r="N78" s="6">
        <v>52</v>
      </c>
      <c r="O78" s="6">
        <v>20</v>
      </c>
      <c r="P78" s="6">
        <v>2024</v>
      </c>
      <c r="Q78" s="4" t="s">
        <v>345</v>
      </c>
      <c r="R78" s="6">
        <v>4</v>
      </c>
      <c r="S78" s="6">
        <f>MONTH(PQ_cleaned_data[[#This Row],[Order Date]])</f>
        <v>10</v>
      </c>
    </row>
    <row r="79" spans="1:19">
      <c r="A79" s="4" t="s">
        <v>169</v>
      </c>
      <c r="B79" s="5">
        <v>45450</v>
      </c>
      <c r="C79" s="4" t="s">
        <v>59</v>
      </c>
      <c r="D79" s="4" t="s">
        <v>60</v>
      </c>
      <c r="E79" s="4" t="s">
        <v>61</v>
      </c>
      <c r="F79" s="4" t="s">
        <v>62</v>
      </c>
      <c r="G79" s="4" t="s">
        <v>99</v>
      </c>
      <c r="H79" s="6">
        <v>17</v>
      </c>
      <c r="I79" s="7">
        <v>180.61</v>
      </c>
      <c r="J79" s="7">
        <v>3070.37</v>
      </c>
      <c r="K79" s="7">
        <v>105.4</v>
      </c>
      <c r="L79" s="8">
        <v>1791.8</v>
      </c>
      <c r="M79" s="7">
        <v>1278.57</v>
      </c>
      <c r="N79" s="6">
        <v>51</v>
      </c>
      <c r="O79" s="6">
        <v>20</v>
      </c>
      <c r="P79" s="6">
        <v>2024</v>
      </c>
      <c r="Q79" s="4" t="s">
        <v>349</v>
      </c>
      <c r="R79" s="6">
        <v>2</v>
      </c>
      <c r="S79" s="6">
        <f>MONTH(PQ_cleaned_data[[#This Row],[Order Date]])</f>
        <v>6</v>
      </c>
    </row>
    <row r="80" spans="1:19">
      <c r="A80" s="4" t="s">
        <v>170</v>
      </c>
      <c r="B80" s="5">
        <v>45583</v>
      </c>
      <c r="C80" s="4" t="s">
        <v>78</v>
      </c>
      <c r="D80" s="4" t="s">
        <v>79</v>
      </c>
      <c r="E80" s="4" t="s">
        <v>72</v>
      </c>
      <c r="F80" s="4" t="s">
        <v>82</v>
      </c>
      <c r="G80" s="4" t="s">
        <v>68</v>
      </c>
      <c r="H80" s="6">
        <v>15</v>
      </c>
      <c r="I80" s="7">
        <v>118.36</v>
      </c>
      <c r="J80" s="7">
        <v>1775.4</v>
      </c>
      <c r="K80" s="7">
        <v>49.19</v>
      </c>
      <c r="L80" s="8">
        <v>737.85</v>
      </c>
      <c r="M80" s="7">
        <v>1037.55</v>
      </c>
      <c r="N80" s="6">
        <v>23</v>
      </c>
      <c r="O80" s="6">
        <v>30</v>
      </c>
      <c r="P80" s="6">
        <v>2024</v>
      </c>
      <c r="Q80" s="4" t="s">
        <v>345</v>
      </c>
      <c r="R80" s="6">
        <v>4</v>
      </c>
      <c r="S80" s="6">
        <f>MONTH(PQ_cleaned_data[[#This Row],[Order Date]])</f>
        <v>10</v>
      </c>
    </row>
    <row r="81" spans="1:19">
      <c r="A81" s="4" t="s">
        <v>171</v>
      </c>
      <c r="B81" s="5">
        <v>45381</v>
      </c>
      <c r="C81" s="4" t="s">
        <v>96</v>
      </c>
      <c r="D81" s="4" t="s">
        <v>97</v>
      </c>
      <c r="E81" s="4" t="s">
        <v>67</v>
      </c>
      <c r="F81" s="4" t="s">
        <v>62</v>
      </c>
      <c r="G81" s="4" t="s">
        <v>88</v>
      </c>
      <c r="H81" s="6">
        <v>8</v>
      </c>
      <c r="I81" s="7">
        <v>49</v>
      </c>
      <c r="J81" s="7">
        <v>392</v>
      </c>
      <c r="K81" s="7">
        <v>31.71</v>
      </c>
      <c r="L81" s="8">
        <v>253.68</v>
      </c>
      <c r="M81" s="7">
        <v>138.32</v>
      </c>
      <c r="N81" s="6">
        <v>110</v>
      </c>
      <c r="O81" s="6">
        <v>30</v>
      </c>
      <c r="P81" s="6">
        <v>2024</v>
      </c>
      <c r="Q81" s="4" t="s">
        <v>351</v>
      </c>
      <c r="R81" s="6">
        <v>1</v>
      </c>
      <c r="S81" s="6">
        <f>MONTH(PQ_cleaned_data[[#This Row],[Order Date]])</f>
        <v>3</v>
      </c>
    </row>
    <row r="82" spans="1:19">
      <c r="A82" s="4" t="s">
        <v>172</v>
      </c>
      <c r="B82" s="5">
        <v>45414</v>
      </c>
      <c r="C82" s="4" t="s">
        <v>111</v>
      </c>
      <c r="D82" s="4" t="s">
        <v>112</v>
      </c>
      <c r="E82" s="4" t="s">
        <v>67</v>
      </c>
      <c r="F82" s="4" t="s">
        <v>119</v>
      </c>
      <c r="G82" s="4" t="s">
        <v>99</v>
      </c>
      <c r="H82" s="6">
        <v>9</v>
      </c>
      <c r="I82" s="7">
        <v>221.23</v>
      </c>
      <c r="J82" s="7">
        <v>1991.07</v>
      </c>
      <c r="K82" s="7">
        <v>136.08000000000001</v>
      </c>
      <c r="L82" s="8">
        <v>1224.72</v>
      </c>
      <c r="M82" s="7">
        <v>766.35</v>
      </c>
      <c r="N82" s="6">
        <v>170</v>
      </c>
      <c r="O82" s="6">
        <v>20</v>
      </c>
      <c r="P82" s="6">
        <v>2024</v>
      </c>
      <c r="Q82" s="4" t="s">
        <v>354</v>
      </c>
      <c r="R82" s="6">
        <v>2</v>
      </c>
      <c r="S82" s="6">
        <f>MONTH(PQ_cleaned_data[[#This Row],[Order Date]])</f>
        <v>5</v>
      </c>
    </row>
    <row r="83" spans="1:19">
      <c r="A83" s="4" t="s">
        <v>173</v>
      </c>
      <c r="B83" s="5">
        <v>45345</v>
      </c>
      <c r="C83" s="4" t="s">
        <v>84</v>
      </c>
      <c r="D83" s="4" t="s">
        <v>85</v>
      </c>
      <c r="E83" s="4" t="s">
        <v>86</v>
      </c>
      <c r="F83" s="4" t="s">
        <v>62</v>
      </c>
      <c r="G83" s="4" t="s">
        <v>63</v>
      </c>
      <c r="H83" s="6">
        <v>14</v>
      </c>
      <c r="I83" s="7">
        <v>115.48</v>
      </c>
      <c r="J83" s="7">
        <v>1616.72</v>
      </c>
      <c r="K83" s="7">
        <v>57.87</v>
      </c>
      <c r="L83" s="8">
        <v>810.18</v>
      </c>
      <c r="M83" s="7">
        <v>806.54</v>
      </c>
      <c r="N83" s="6">
        <v>129</v>
      </c>
      <c r="O83" s="6">
        <v>20</v>
      </c>
      <c r="P83" s="6">
        <v>2024</v>
      </c>
      <c r="Q83" s="4" t="s">
        <v>348</v>
      </c>
      <c r="R83" s="6">
        <v>1</v>
      </c>
      <c r="S83" s="6">
        <f>MONTH(PQ_cleaned_data[[#This Row],[Order Date]])</f>
        <v>2</v>
      </c>
    </row>
    <row r="84" spans="1:19">
      <c r="A84" s="4" t="s">
        <v>174</v>
      </c>
      <c r="B84" s="5">
        <v>45496</v>
      </c>
      <c r="C84" s="4" t="s">
        <v>59</v>
      </c>
      <c r="D84" s="4" t="s">
        <v>60</v>
      </c>
      <c r="E84" s="4" t="s">
        <v>61</v>
      </c>
      <c r="F84" s="4" t="s">
        <v>76</v>
      </c>
      <c r="G84" s="4" t="s">
        <v>88</v>
      </c>
      <c r="H84" s="6">
        <v>13</v>
      </c>
      <c r="I84" s="7">
        <v>14.25</v>
      </c>
      <c r="J84" s="7">
        <v>1182</v>
      </c>
      <c r="K84" s="7">
        <v>7.13</v>
      </c>
      <c r="L84" s="8">
        <v>92.69</v>
      </c>
      <c r="M84" s="7">
        <v>92.56</v>
      </c>
      <c r="N84" s="6">
        <v>181</v>
      </c>
      <c r="O84" s="6">
        <v>20</v>
      </c>
      <c r="P84" s="6">
        <v>2024</v>
      </c>
      <c r="Q84" s="4" t="s">
        <v>350</v>
      </c>
      <c r="R84" s="6">
        <v>3</v>
      </c>
      <c r="S84" s="6">
        <f>MONTH(PQ_cleaned_data[[#This Row],[Order Date]])</f>
        <v>7</v>
      </c>
    </row>
    <row r="85" spans="1:19">
      <c r="A85" s="4" t="s">
        <v>175</v>
      </c>
      <c r="B85" s="5">
        <v>45416</v>
      </c>
      <c r="C85" s="4" t="s">
        <v>78</v>
      </c>
      <c r="D85" s="4" t="s">
        <v>79</v>
      </c>
      <c r="E85" s="4" t="s">
        <v>72</v>
      </c>
      <c r="F85" s="4" t="s">
        <v>62</v>
      </c>
      <c r="G85" s="4" t="s">
        <v>92</v>
      </c>
      <c r="H85" s="6">
        <v>5</v>
      </c>
      <c r="I85" s="7">
        <v>120.34</v>
      </c>
      <c r="J85" s="7">
        <v>601.70000000000005</v>
      </c>
      <c r="K85" s="7">
        <v>61.57</v>
      </c>
      <c r="L85" s="8">
        <v>307.85000000000002</v>
      </c>
      <c r="M85" s="7">
        <v>293.85000000000002</v>
      </c>
      <c r="N85" s="6">
        <v>41</v>
      </c>
      <c r="O85" s="6">
        <v>20</v>
      </c>
      <c r="P85" s="6">
        <v>2024</v>
      </c>
      <c r="Q85" s="4" t="s">
        <v>354</v>
      </c>
      <c r="R85" s="6">
        <v>2</v>
      </c>
      <c r="S85" s="6">
        <f>MONTH(PQ_cleaned_data[[#This Row],[Order Date]])</f>
        <v>5</v>
      </c>
    </row>
    <row r="86" spans="1:19">
      <c r="A86" s="4" t="s">
        <v>176</v>
      </c>
      <c r="B86" s="5">
        <v>45331</v>
      </c>
      <c r="C86" s="4" t="s">
        <v>65</v>
      </c>
      <c r="D86" s="4" t="s">
        <v>66</v>
      </c>
      <c r="E86" s="4" t="s">
        <v>67</v>
      </c>
      <c r="F86" s="4" t="s">
        <v>62</v>
      </c>
      <c r="G86" s="4" t="s">
        <v>88</v>
      </c>
      <c r="H86" s="6">
        <v>9</v>
      </c>
      <c r="I86" s="7">
        <v>42.61</v>
      </c>
      <c r="J86" s="7">
        <v>1182</v>
      </c>
      <c r="K86" s="7">
        <v>23.15</v>
      </c>
      <c r="L86" s="8">
        <v>208.35</v>
      </c>
      <c r="M86" s="7">
        <v>175.14</v>
      </c>
      <c r="N86" s="6">
        <v>55</v>
      </c>
      <c r="O86" s="6">
        <v>50</v>
      </c>
      <c r="P86" s="6">
        <v>2024</v>
      </c>
      <c r="Q86" s="4" t="s">
        <v>348</v>
      </c>
      <c r="R86" s="6">
        <v>1</v>
      </c>
      <c r="S86" s="6">
        <f>MONTH(PQ_cleaned_data[[#This Row],[Order Date]])</f>
        <v>2</v>
      </c>
    </row>
    <row r="87" spans="1:19">
      <c r="A87" s="4" t="s">
        <v>177</v>
      </c>
      <c r="B87" s="5">
        <v>45559</v>
      </c>
      <c r="C87" s="4" t="s">
        <v>90</v>
      </c>
      <c r="D87" s="4" t="s">
        <v>91</v>
      </c>
      <c r="E87" s="4" t="s">
        <v>72</v>
      </c>
      <c r="F87" s="4" t="s">
        <v>62</v>
      </c>
      <c r="G87" s="4" t="s">
        <v>99</v>
      </c>
      <c r="H87" s="6">
        <v>13</v>
      </c>
      <c r="I87" s="7">
        <v>174.13</v>
      </c>
      <c r="J87" s="7">
        <v>2263.69</v>
      </c>
      <c r="K87" s="7">
        <v>100.58</v>
      </c>
      <c r="L87" s="8">
        <v>1307.54</v>
      </c>
      <c r="M87" s="7">
        <v>956.15</v>
      </c>
      <c r="N87" s="6">
        <v>153</v>
      </c>
      <c r="O87" s="6">
        <v>20</v>
      </c>
      <c r="P87" s="6">
        <v>2024</v>
      </c>
      <c r="Q87" s="4" t="s">
        <v>347</v>
      </c>
      <c r="R87" s="6">
        <v>3</v>
      </c>
      <c r="S87" s="6">
        <f>MONTH(PQ_cleaned_data[[#This Row],[Order Date]])</f>
        <v>9</v>
      </c>
    </row>
    <row r="88" spans="1:19">
      <c r="A88" s="4" t="s">
        <v>178</v>
      </c>
      <c r="B88" s="5">
        <v>45338</v>
      </c>
      <c r="C88" s="4" t="s">
        <v>65</v>
      </c>
      <c r="D88" s="4" t="s">
        <v>66</v>
      </c>
      <c r="E88" s="4" t="s">
        <v>67</v>
      </c>
      <c r="F88" s="4" t="s">
        <v>106</v>
      </c>
      <c r="G88" s="4" t="s">
        <v>88</v>
      </c>
      <c r="H88" s="6">
        <v>14</v>
      </c>
      <c r="I88" s="7">
        <v>11.85</v>
      </c>
      <c r="J88" s="7">
        <v>165.9</v>
      </c>
      <c r="K88" s="7">
        <v>4.8099999999999996</v>
      </c>
      <c r="L88" s="8">
        <v>67.34</v>
      </c>
      <c r="M88" s="7">
        <v>98.56</v>
      </c>
      <c r="N88" s="6">
        <v>49</v>
      </c>
      <c r="O88" s="6">
        <v>50</v>
      </c>
      <c r="P88" s="6">
        <v>2024</v>
      </c>
      <c r="Q88" s="4" t="s">
        <v>348</v>
      </c>
      <c r="R88" s="6">
        <v>1</v>
      </c>
      <c r="S88" s="6">
        <f>MONTH(PQ_cleaned_data[[#This Row],[Order Date]])</f>
        <v>2</v>
      </c>
    </row>
    <row r="89" spans="1:19">
      <c r="A89" s="4" t="s">
        <v>179</v>
      </c>
      <c r="B89" s="5">
        <v>45377</v>
      </c>
      <c r="C89" s="4" t="s">
        <v>65</v>
      </c>
      <c r="D89" s="4" t="s">
        <v>66</v>
      </c>
      <c r="E89" s="4" t="s">
        <v>67</v>
      </c>
      <c r="F89" s="4" t="s">
        <v>119</v>
      </c>
      <c r="G89" s="4" t="s">
        <v>92</v>
      </c>
      <c r="H89" s="6">
        <v>14</v>
      </c>
      <c r="I89" s="7">
        <v>130.56</v>
      </c>
      <c r="J89" s="7">
        <v>1827.84</v>
      </c>
      <c r="K89" s="7">
        <v>94.82</v>
      </c>
      <c r="L89" s="8">
        <v>1327.48</v>
      </c>
      <c r="M89" s="7">
        <v>500.36</v>
      </c>
      <c r="N89" s="6">
        <v>82</v>
      </c>
      <c r="O89" s="6">
        <v>50</v>
      </c>
      <c r="P89" s="6">
        <v>2024</v>
      </c>
      <c r="Q89" s="4" t="s">
        <v>351</v>
      </c>
      <c r="R89" s="6">
        <v>1</v>
      </c>
      <c r="S89" s="6">
        <f>MONTH(PQ_cleaned_data[[#This Row],[Order Date]])</f>
        <v>3</v>
      </c>
    </row>
    <row r="90" spans="1:19">
      <c r="A90" s="4" t="s">
        <v>180</v>
      </c>
      <c r="B90" s="5">
        <v>45401</v>
      </c>
      <c r="C90" s="4" t="s">
        <v>90</v>
      </c>
      <c r="D90" s="4" t="s">
        <v>91</v>
      </c>
      <c r="E90" s="4" t="s">
        <v>72</v>
      </c>
      <c r="F90" s="4" t="s">
        <v>62</v>
      </c>
      <c r="G90" s="4" t="s">
        <v>99</v>
      </c>
      <c r="H90" s="6">
        <v>12</v>
      </c>
      <c r="I90" s="7">
        <v>84.23</v>
      </c>
      <c r="J90" s="7">
        <v>1010.76</v>
      </c>
      <c r="K90" s="7">
        <v>34.200000000000003</v>
      </c>
      <c r="L90" s="8">
        <v>410.4</v>
      </c>
      <c r="M90" s="7">
        <v>600.36</v>
      </c>
      <c r="N90" s="6">
        <v>167</v>
      </c>
      <c r="O90" s="6">
        <v>30</v>
      </c>
      <c r="P90" s="6">
        <v>2024</v>
      </c>
      <c r="Q90" s="4" t="s">
        <v>353</v>
      </c>
      <c r="R90" s="6">
        <v>2</v>
      </c>
      <c r="S90" s="6">
        <f>MONTH(PQ_cleaned_data[[#This Row],[Order Date]])</f>
        <v>4</v>
      </c>
    </row>
    <row r="91" spans="1:19">
      <c r="A91" s="4" t="s">
        <v>181</v>
      </c>
      <c r="B91" s="5">
        <v>45611</v>
      </c>
      <c r="C91" s="4" t="s">
        <v>84</v>
      </c>
      <c r="D91" s="4" t="s">
        <v>85</v>
      </c>
      <c r="E91" s="4" t="s">
        <v>86</v>
      </c>
      <c r="F91" s="4" t="s">
        <v>82</v>
      </c>
      <c r="G91" s="4" t="s">
        <v>63</v>
      </c>
      <c r="H91" s="6">
        <v>2</v>
      </c>
      <c r="I91" s="7">
        <v>21.5</v>
      </c>
      <c r="J91" s="7">
        <v>43</v>
      </c>
      <c r="K91" s="7">
        <v>10.48</v>
      </c>
      <c r="L91" s="8">
        <v>20.96</v>
      </c>
      <c r="M91" s="7">
        <v>22.04</v>
      </c>
      <c r="N91" s="6">
        <v>77</v>
      </c>
      <c r="O91" s="6">
        <v>50</v>
      </c>
      <c r="P91" s="6">
        <v>2024</v>
      </c>
      <c r="Q91" s="4" t="s">
        <v>355</v>
      </c>
      <c r="R91" s="6">
        <v>4</v>
      </c>
      <c r="S91" s="6">
        <f>MONTH(PQ_cleaned_data[[#This Row],[Order Date]])</f>
        <v>11</v>
      </c>
    </row>
    <row r="92" spans="1:19">
      <c r="A92" s="4" t="s">
        <v>182</v>
      </c>
      <c r="B92" s="5">
        <v>45420</v>
      </c>
      <c r="C92" s="4" t="s">
        <v>90</v>
      </c>
      <c r="D92" s="4" t="s">
        <v>91</v>
      </c>
      <c r="E92" s="4" t="s">
        <v>72</v>
      </c>
      <c r="F92" s="4" t="s">
        <v>103</v>
      </c>
      <c r="G92" s="4" t="s">
        <v>68</v>
      </c>
      <c r="H92" s="6">
        <v>20</v>
      </c>
      <c r="I92" s="7">
        <v>84.47</v>
      </c>
      <c r="J92" s="7">
        <v>1689.4</v>
      </c>
      <c r="K92" s="7">
        <v>55.1</v>
      </c>
      <c r="L92" s="8">
        <v>1102</v>
      </c>
      <c r="M92" s="7">
        <v>587.4</v>
      </c>
      <c r="N92" s="6">
        <v>99</v>
      </c>
      <c r="O92" s="6">
        <v>50</v>
      </c>
      <c r="P92" s="6">
        <v>2024</v>
      </c>
      <c r="Q92" s="4" t="s">
        <v>354</v>
      </c>
      <c r="R92" s="6">
        <v>2</v>
      </c>
      <c r="S92" s="6">
        <f>MONTH(PQ_cleaned_data[[#This Row],[Order Date]])</f>
        <v>5</v>
      </c>
    </row>
    <row r="93" spans="1:19">
      <c r="A93" s="4" t="s">
        <v>183</v>
      </c>
      <c r="B93" s="5">
        <v>45538</v>
      </c>
      <c r="C93" s="4" t="s">
        <v>90</v>
      </c>
      <c r="D93" s="4" t="s">
        <v>91</v>
      </c>
      <c r="E93" s="4" t="s">
        <v>72</v>
      </c>
      <c r="F93" s="4" t="s">
        <v>119</v>
      </c>
      <c r="G93" s="4" t="s">
        <v>92</v>
      </c>
      <c r="H93" s="6">
        <v>11</v>
      </c>
      <c r="I93" s="7">
        <v>9.32</v>
      </c>
      <c r="J93" s="7">
        <v>102.52</v>
      </c>
      <c r="K93" s="7">
        <v>7.13</v>
      </c>
      <c r="L93" s="8">
        <v>78.430000000000007</v>
      </c>
      <c r="M93" s="7">
        <v>24.09</v>
      </c>
      <c r="N93" s="6">
        <v>114</v>
      </c>
      <c r="O93" s="6">
        <v>30</v>
      </c>
      <c r="P93" s="6">
        <v>2024</v>
      </c>
      <c r="Q93" s="4" t="s">
        <v>347</v>
      </c>
      <c r="R93" s="6">
        <v>3</v>
      </c>
      <c r="S93" s="6">
        <f>MONTH(PQ_cleaned_data[[#This Row],[Order Date]])</f>
        <v>9</v>
      </c>
    </row>
    <row r="94" spans="1:19">
      <c r="A94" s="4" t="s">
        <v>184</v>
      </c>
      <c r="B94" s="5">
        <v>45355</v>
      </c>
      <c r="C94" s="4" t="s">
        <v>70</v>
      </c>
      <c r="D94" s="4" t="s">
        <v>71</v>
      </c>
      <c r="E94" s="4" t="s">
        <v>72</v>
      </c>
      <c r="F94" s="4" t="s">
        <v>62</v>
      </c>
      <c r="G94" s="4" t="s">
        <v>74</v>
      </c>
      <c r="H94" s="6">
        <v>8</v>
      </c>
      <c r="I94" s="7">
        <v>185.79</v>
      </c>
      <c r="J94" s="7">
        <v>1486.32</v>
      </c>
      <c r="K94" s="7">
        <v>130.59</v>
      </c>
      <c r="L94" s="8">
        <v>1044.72</v>
      </c>
      <c r="M94" s="7">
        <v>441.6</v>
      </c>
      <c r="N94" s="6">
        <v>158</v>
      </c>
      <c r="O94" s="6">
        <v>20</v>
      </c>
      <c r="P94" s="6">
        <v>2024</v>
      </c>
      <c r="Q94" s="4" t="s">
        <v>351</v>
      </c>
      <c r="R94" s="6">
        <v>1</v>
      </c>
      <c r="S94" s="6">
        <f>MONTH(PQ_cleaned_data[[#This Row],[Order Date]])</f>
        <v>3</v>
      </c>
    </row>
    <row r="95" spans="1:19">
      <c r="A95" s="4" t="s">
        <v>185</v>
      </c>
      <c r="B95" s="5">
        <v>45311</v>
      </c>
      <c r="C95" s="4" t="s">
        <v>59</v>
      </c>
      <c r="D95" s="4" t="s">
        <v>60</v>
      </c>
      <c r="E95" s="4" t="s">
        <v>61</v>
      </c>
      <c r="F95" s="4" t="s">
        <v>82</v>
      </c>
      <c r="G95" s="4" t="s">
        <v>68</v>
      </c>
      <c r="H95" s="6">
        <v>20</v>
      </c>
      <c r="I95" s="7">
        <v>247.2</v>
      </c>
      <c r="J95" s="7">
        <v>4944</v>
      </c>
      <c r="K95" s="7">
        <v>142.76</v>
      </c>
      <c r="L95" s="8">
        <v>2855.2</v>
      </c>
      <c r="M95" s="7">
        <v>2088.8000000000002</v>
      </c>
      <c r="N95" s="6">
        <v>84</v>
      </c>
      <c r="O95" s="6">
        <v>20</v>
      </c>
      <c r="P95" s="6">
        <v>2024</v>
      </c>
      <c r="Q95" s="4" t="s">
        <v>352</v>
      </c>
      <c r="R95" s="6">
        <v>1</v>
      </c>
      <c r="S95" s="6">
        <f>MONTH(PQ_cleaned_data[[#This Row],[Order Date]])</f>
        <v>1</v>
      </c>
    </row>
    <row r="96" spans="1:19">
      <c r="A96" s="4" t="s">
        <v>186</v>
      </c>
      <c r="B96" s="5">
        <v>45439</v>
      </c>
      <c r="C96" s="4" t="s">
        <v>65</v>
      </c>
      <c r="D96" s="4" t="s">
        <v>66</v>
      </c>
      <c r="E96" s="4" t="s">
        <v>67</v>
      </c>
      <c r="F96" s="4" t="s">
        <v>62</v>
      </c>
      <c r="G96" s="4" t="s">
        <v>88</v>
      </c>
      <c r="H96" s="6">
        <v>8</v>
      </c>
      <c r="I96" s="7">
        <v>212.5</v>
      </c>
      <c r="J96" s="7">
        <v>1700</v>
      </c>
      <c r="K96" s="7">
        <v>113.16</v>
      </c>
      <c r="L96" s="8">
        <v>905.28</v>
      </c>
      <c r="M96" s="7">
        <v>794.72</v>
      </c>
      <c r="N96" s="6">
        <v>62</v>
      </c>
      <c r="O96" s="6">
        <v>20</v>
      </c>
      <c r="P96" s="6">
        <v>2024</v>
      </c>
      <c r="Q96" s="4" t="s">
        <v>354</v>
      </c>
      <c r="R96" s="6">
        <v>2</v>
      </c>
      <c r="S96" s="6">
        <f>MONTH(PQ_cleaned_data[[#This Row],[Order Date]])</f>
        <v>5</v>
      </c>
    </row>
    <row r="97" spans="1:19">
      <c r="A97" s="4" t="s">
        <v>187</v>
      </c>
      <c r="B97" s="5">
        <v>45487</v>
      </c>
      <c r="C97" s="4" t="s">
        <v>84</v>
      </c>
      <c r="D97" s="4" t="s">
        <v>85</v>
      </c>
      <c r="E97" s="4" t="s">
        <v>86</v>
      </c>
      <c r="F97" s="4" t="s">
        <v>119</v>
      </c>
      <c r="G97" s="4" t="s">
        <v>63</v>
      </c>
      <c r="H97" s="6">
        <v>6</v>
      </c>
      <c r="I97" s="7">
        <v>113.38</v>
      </c>
      <c r="J97" s="7">
        <v>680.28</v>
      </c>
      <c r="K97" s="7">
        <v>71.95</v>
      </c>
      <c r="L97" s="8">
        <v>273.77999999999997</v>
      </c>
      <c r="M97" s="7">
        <v>406.5</v>
      </c>
      <c r="N97" s="6">
        <v>125</v>
      </c>
      <c r="O97" s="6">
        <v>20</v>
      </c>
      <c r="P97" s="6">
        <v>2024</v>
      </c>
      <c r="Q97" s="4" t="s">
        <v>350</v>
      </c>
      <c r="R97" s="6">
        <v>3</v>
      </c>
      <c r="S97" s="6">
        <f>MONTH(PQ_cleaned_data[[#This Row],[Order Date]])</f>
        <v>7</v>
      </c>
    </row>
    <row r="98" spans="1:19">
      <c r="A98" s="4" t="s">
        <v>188</v>
      </c>
      <c r="B98" s="5">
        <v>45595</v>
      </c>
      <c r="C98" s="4" t="s">
        <v>59</v>
      </c>
      <c r="D98" s="4" t="s">
        <v>60</v>
      </c>
      <c r="E98" s="4" t="s">
        <v>61</v>
      </c>
      <c r="F98" s="4" t="s">
        <v>103</v>
      </c>
      <c r="G98" s="4" t="s">
        <v>88</v>
      </c>
      <c r="H98" s="6">
        <v>8</v>
      </c>
      <c r="I98" s="7">
        <v>129.32</v>
      </c>
      <c r="J98" s="7">
        <v>1034.56</v>
      </c>
      <c r="K98" s="7">
        <v>73.78</v>
      </c>
      <c r="L98" s="8">
        <v>590.24</v>
      </c>
      <c r="M98" s="7">
        <v>444.32</v>
      </c>
      <c r="N98" s="6">
        <v>119</v>
      </c>
      <c r="O98" s="6">
        <v>30</v>
      </c>
      <c r="P98" s="6">
        <v>2024</v>
      </c>
      <c r="Q98" s="4" t="s">
        <v>345</v>
      </c>
      <c r="R98" s="6">
        <v>4</v>
      </c>
      <c r="S98" s="6">
        <f>MONTH(PQ_cleaned_data[[#This Row],[Order Date]])</f>
        <v>10</v>
      </c>
    </row>
    <row r="99" spans="1:19">
      <c r="A99" s="4" t="s">
        <v>189</v>
      </c>
      <c r="B99" s="5">
        <v>45587</v>
      </c>
      <c r="C99" s="4" t="s">
        <v>78</v>
      </c>
      <c r="D99" s="4" t="s">
        <v>79</v>
      </c>
      <c r="E99" s="4" t="s">
        <v>72</v>
      </c>
      <c r="F99" s="4" t="s">
        <v>62</v>
      </c>
      <c r="G99" s="4" t="s">
        <v>99</v>
      </c>
      <c r="H99" s="6">
        <v>7</v>
      </c>
      <c r="I99" s="7">
        <v>71.61</v>
      </c>
      <c r="J99" s="7">
        <v>501.27</v>
      </c>
      <c r="K99" s="7">
        <v>51.02</v>
      </c>
      <c r="L99" s="8">
        <v>357.14</v>
      </c>
      <c r="M99" s="7">
        <v>144.13</v>
      </c>
      <c r="N99" s="6">
        <v>20</v>
      </c>
      <c r="O99" s="6">
        <v>30</v>
      </c>
      <c r="P99" s="6">
        <v>2024</v>
      </c>
      <c r="Q99" s="4" t="s">
        <v>345</v>
      </c>
      <c r="R99" s="6">
        <v>4</v>
      </c>
      <c r="S99" s="6">
        <f>MONTH(PQ_cleaned_data[[#This Row],[Order Date]])</f>
        <v>10</v>
      </c>
    </row>
    <row r="100" spans="1:19">
      <c r="A100" s="4" t="s">
        <v>190</v>
      </c>
      <c r="B100" s="5">
        <v>45371</v>
      </c>
      <c r="C100" s="4" t="s">
        <v>78</v>
      </c>
      <c r="D100" s="4" t="s">
        <v>79</v>
      </c>
      <c r="E100" s="4" t="s">
        <v>72</v>
      </c>
      <c r="F100" s="4" t="s">
        <v>103</v>
      </c>
      <c r="G100" s="4" t="s">
        <v>92</v>
      </c>
      <c r="H100" s="6">
        <v>1</v>
      </c>
      <c r="I100" s="7">
        <v>191.67</v>
      </c>
      <c r="J100" s="7">
        <v>191.67</v>
      </c>
      <c r="K100" s="7">
        <v>109.44</v>
      </c>
      <c r="L100" s="8">
        <v>109.44</v>
      </c>
      <c r="M100" s="7">
        <v>82.23</v>
      </c>
      <c r="N100" s="6">
        <v>21</v>
      </c>
      <c r="O100" s="6">
        <v>30</v>
      </c>
      <c r="P100" s="6">
        <v>2024</v>
      </c>
      <c r="Q100" s="4" t="s">
        <v>351</v>
      </c>
      <c r="R100" s="6">
        <v>1</v>
      </c>
      <c r="S100" s="6">
        <f>MONTH(PQ_cleaned_data[[#This Row],[Order Date]])</f>
        <v>3</v>
      </c>
    </row>
    <row r="101" spans="1:19">
      <c r="A101" s="4" t="s">
        <v>191</v>
      </c>
      <c r="B101" s="5">
        <v>45484</v>
      </c>
      <c r="C101" s="4" t="s">
        <v>78</v>
      </c>
      <c r="D101" s="4" t="s">
        <v>79</v>
      </c>
      <c r="E101" s="4" t="s">
        <v>72</v>
      </c>
      <c r="F101" s="4" t="s">
        <v>62</v>
      </c>
      <c r="G101" s="4" t="s">
        <v>63</v>
      </c>
      <c r="H101" s="6">
        <v>3</v>
      </c>
      <c r="I101" s="7">
        <v>86.64</v>
      </c>
      <c r="J101" s="7">
        <v>259.92</v>
      </c>
      <c r="K101" s="7">
        <v>59.43</v>
      </c>
      <c r="L101" s="8">
        <v>178.29</v>
      </c>
      <c r="M101" s="7">
        <v>81.63</v>
      </c>
      <c r="N101" s="6">
        <v>50</v>
      </c>
      <c r="O101" s="6">
        <v>20</v>
      </c>
      <c r="P101" s="6">
        <v>2024</v>
      </c>
      <c r="Q101" s="4" t="s">
        <v>350</v>
      </c>
      <c r="R101" s="6">
        <v>3</v>
      </c>
      <c r="S101" s="6">
        <f>MONTH(PQ_cleaned_data[[#This Row],[Order Date]])</f>
        <v>7</v>
      </c>
    </row>
    <row r="102" spans="1:19">
      <c r="A102" s="4" t="s">
        <v>192</v>
      </c>
      <c r="B102" s="5">
        <v>45504</v>
      </c>
      <c r="C102" s="4" t="s">
        <v>96</v>
      </c>
      <c r="D102" s="4" t="s">
        <v>97</v>
      </c>
      <c r="E102" s="4" t="s">
        <v>67</v>
      </c>
      <c r="F102" s="4" t="s">
        <v>62</v>
      </c>
      <c r="G102" s="4" t="s">
        <v>63</v>
      </c>
      <c r="H102" s="6">
        <v>12</v>
      </c>
      <c r="I102" s="7">
        <v>99.09</v>
      </c>
      <c r="J102" s="7">
        <v>1189.08</v>
      </c>
      <c r="K102" s="7">
        <v>51.84</v>
      </c>
      <c r="L102" s="8">
        <v>622.08000000000004</v>
      </c>
      <c r="M102" s="7">
        <v>567</v>
      </c>
      <c r="N102" s="6">
        <v>150</v>
      </c>
      <c r="O102" s="6">
        <v>20</v>
      </c>
      <c r="P102" s="6">
        <v>2024</v>
      </c>
      <c r="Q102" s="4" t="s">
        <v>350</v>
      </c>
      <c r="R102" s="6">
        <v>3</v>
      </c>
      <c r="S102" s="6">
        <f>MONTH(PQ_cleaned_data[[#This Row],[Order Date]])</f>
        <v>7</v>
      </c>
    </row>
    <row r="103" spans="1:19">
      <c r="A103" s="4" t="s">
        <v>193</v>
      </c>
      <c r="B103" s="5">
        <v>45515</v>
      </c>
      <c r="C103" s="4" t="s">
        <v>70</v>
      </c>
      <c r="D103" s="4" t="s">
        <v>71</v>
      </c>
      <c r="E103" s="4" t="s">
        <v>72</v>
      </c>
      <c r="F103" s="4" t="s">
        <v>62</v>
      </c>
      <c r="G103" s="4" t="s">
        <v>88</v>
      </c>
      <c r="H103" s="6">
        <v>12</v>
      </c>
      <c r="I103" s="7">
        <v>129.85</v>
      </c>
      <c r="J103" s="7">
        <v>1558.2</v>
      </c>
      <c r="K103" s="7">
        <v>77.319999999999993</v>
      </c>
      <c r="L103" s="8">
        <v>927.84</v>
      </c>
      <c r="M103" s="7">
        <v>630.36</v>
      </c>
      <c r="N103" s="6">
        <v>176</v>
      </c>
      <c r="O103" s="6">
        <v>30</v>
      </c>
      <c r="P103" s="6">
        <v>2024</v>
      </c>
      <c r="Q103" s="4" t="s">
        <v>346</v>
      </c>
      <c r="R103" s="6">
        <v>3</v>
      </c>
      <c r="S103" s="6">
        <f>MONTH(PQ_cleaned_data[[#This Row],[Order Date]])</f>
        <v>8</v>
      </c>
    </row>
    <row r="104" spans="1:19">
      <c r="A104" s="4" t="s">
        <v>194</v>
      </c>
      <c r="B104" s="5">
        <v>45477</v>
      </c>
      <c r="C104" s="4" t="s">
        <v>65</v>
      </c>
      <c r="D104" s="4" t="s">
        <v>66</v>
      </c>
      <c r="E104" s="4" t="s">
        <v>67</v>
      </c>
      <c r="F104" s="4" t="s">
        <v>82</v>
      </c>
      <c r="G104" s="4" t="s">
        <v>74</v>
      </c>
      <c r="H104" s="6">
        <v>5</v>
      </c>
      <c r="I104" s="7">
        <v>69.03</v>
      </c>
      <c r="J104" s="7">
        <v>345.15</v>
      </c>
      <c r="K104" s="7">
        <v>71.95</v>
      </c>
      <c r="L104" s="8">
        <v>200.95</v>
      </c>
      <c r="M104" s="7">
        <v>144.19999999999999</v>
      </c>
      <c r="N104" s="6">
        <v>174</v>
      </c>
      <c r="O104" s="6">
        <v>20</v>
      </c>
      <c r="P104" s="6">
        <v>2024</v>
      </c>
      <c r="Q104" s="4" t="s">
        <v>350</v>
      </c>
      <c r="R104" s="6">
        <v>3</v>
      </c>
      <c r="S104" s="6">
        <f>MONTH(PQ_cleaned_data[[#This Row],[Order Date]])</f>
        <v>7</v>
      </c>
    </row>
    <row r="105" spans="1:19">
      <c r="A105" s="4" t="s">
        <v>195</v>
      </c>
      <c r="B105" s="5">
        <v>45339</v>
      </c>
      <c r="C105" s="4" t="s">
        <v>96</v>
      </c>
      <c r="D105" s="4" t="s">
        <v>97</v>
      </c>
      <c r="E105" s="4" t="s">
        <v>67</v>
      </c>
      <c r="F105" s="4" t="s">
        <v>119</v>
      </c>
      <c r="G105" s="4" t="s">
        <v>99</v>
      </c>
      <c r="H105" s="6">
        <v>13</v>
      </c>
      <c r="I105" s="7">
        <v>177.99</v>
      </c>
      <c r="J105" s="7">
        <v>2313.87</v>
      </c>
      <c r="K105" s="7">
        <v>140.55000000000001</v>
      </c>
      <c r="L105" s="8">
        <v>1827.15</v>
      </c>
      <c r="M105" s="7">
        <v>486.72</v>
      </c>
      <c r="N105" s="6">
        <v>20</v>
      </c>
      <c r="O105" s="6">
        <v>50</v>
      </c>
      <c r="P105" s="6">
        <v>2024</v>
      </c>
      <c r="Q105" s="4" t="s">
        <v>348</v>
      </c>
      <c r="R105" s="6">
        <v>1</v>
      </c>
      <c r="S105" s="6">
        <f>MONTH(PQ_cleaned_data[[#This Row],[Order Date]])</f>
        <v>2</v>
      </c>
    </row>
    <row r="106" spans="1:19">
      <c r="A106" s="4" t="s">
        <v>196</v>
      </c>
      <c r="B106" s="5">
        <v>45564</v>
      </c>
      <c r="C106" s="4" t="s">
        <v>96</v>
      </c>
      <c r="D106" s="4" t="s">
        <v>97</v>
      </c>
      <c r="E106" s="4" t="s">
        <v>67</v>
      </c>
      <c r="F106" s="4" t="s">
        <v>106</v>
      </c>
      <c r="G106" s="4" t="s">
        <v>88</v>
      </c>
      <c r="H106" s="6">
        <v>19</v>
      </c>
      <c r="I106" s="7">
        <v>80.45</v>
      </c>
      <c r="J106" s="7">
        <v>1528.55</v>
      </c>
      <c r="K106" s="7">
        <v>45.43</v>
      </c>
      <c r="L106" s="8">
        <v>863.17</v>
      </c>
      <c r="M106" s="7">
        <v>665.38</v>
      </c>
      <c r="N106" s="6">
        <v>186</v>
      </c>
      <c r="O106" s="6">
        <v>20</v>
      </c>
      <c r="P106" s="6">
        <v>2024</v>
      </c>
      <c r="Q106" s="4" t="s">
        <v>347</v>
      </c>
      <c r="R106" s="6">
        <v>3</v>
      </c>
      <c r="S106" s="6">
        <f>MONTH(PQ_cleaned_data[[#This Row],[Order Date]])</f>
        <v>9</v>
      </c>
    </row>
    <row r="107" spans="1:19">
      <c r="A107" s="4" t="s">
        <v>197</v>
      </c>
      <c r="B107" s="5">
        <v>45399</v>
      </c>
      <c r="C107" s="4" t="s">
        <v>96</v>
      </c>
      <c r="D107" s="4" t="s">
        <v>97</v>
      </c>
      <c r="E107" s="4" t="s">
        <v>67</v>
      </c>
      <c r="F107" s="4" t="s">
        <v>106</v>
      </c>
      <c r="G107" s="4" t="s">
        <v>63</v>
      </c>
      <c r="H107" s="6">
        <v>10</v>
      </c>
      <c r="I107" s="7">
        <v>6.57</v>
      </c>
      <c r="J107" s="7">
        <v>65.7</v>
      </c>
      <c r="K107" s="7">
        <v>3.07</v>
      </c>
      <c r="L107" s="8">
        <v>30.7</v>
      </c>
      <c r="M107" s="7">
        <v>35</v>
      </c>
      <c r="N107" s="6">
        <v>125</v>
      </c>
      <c r="O107" s="6">
        <v>20</v>
      </c>
      <c r="P107" s="6">
        <v>2024</v>
      </c>
      <c r="Q107" s="4" t="s">
        <v>353</v>
      </c>
      <c r="R107" s="6">
        <v>2</v>
      </c>
      <c r="S107" s="6">
        <f>MONTH(PQ_cleaned_data[[#This Row],[Order Date]])</f>
        <v>4</v>
      </c>
    </row>
    <row r="108" spans="1:19">
      <c r="A108" s="4" t="s">
        <v>198</v>
      </c>
      <c r="B108" s="5">
        <v>45512</v>
      </c>
      <c r="C108" s="4" t="s">
        <v>111</v>
      </c>
      <c r="D108" s="4" t="s">
        <v>112</v>
      </c>
      <c r="E108" s="4" t="s">
        <v>67</v>
      </c>
      <c r="F108" s="4" t="s">
        <v>103</v>
      </c>
      <c r="G108" s="4" t="s">
        <v>92</v>
      </c>
      <c r="H108" s="6">
        <v>6</v>
      </c>
      <c r="I108" s="7">
        <v>96.79</v>
      </c>
      <c r="J108" s="7">
        <v>580.74</v>
      </c>
      <c r="K108" s="7">
        <v>65.97</v>
      </c>
      <c r="L108" s="8">
        <v>395.82</v>
      </c>
      <c r="M108" s="7">
        <v>184.92</v>
      </c>
      <c r="N108" s="6">
        <v>50</v>
      </c>
      <c r="O108" s="6">
        <v>30</v>
      </c>
      <c r="P108" s="6">
        <v>2024</v>
      </c>
      <c r="Q108" s="4" t="s">
        <v>346</v>
      </c>
      <c r="R108" s="6">
        <v>3</v>
      </c>
      <c r="S108" s="6">
        <f>MONTH(PQ_cleaned_data[[#This Row],[Order Date]])</f>
        <v>8</v>
      </c>
    </row>
    <row r="109" spans="1:19">
      <c r="A109" s="4" t="s">
        <v>199</v>
      </c>
      <c r="B109" s="5">
        <v>45322</v>
      </c>
      <c r="C109" s="4" t="s">
        <v>111</v>
      </c>
      <c r="D109" s="4" t="s">
        <v>112</v>
      </c>
      <c r="E109" s="4" t="s">
        <v>67</v>
      </c>
      <c r="F109" s="4" t="s">
        <v>106</v>
      </c>
      <c r="G109" s="4" t="s">
        <v>88</v>
      </c>
      <c r="H109" s="6">
        <v>7</v>
      </c>
      <c r="I109" s="7">
        <v>68.540000000000006</v>
      </c>
      <c r="J109" s="7">
        <v>479.78</v>
      </c>
      <c r="K109" s="7">
        <v>52.15</v>
      </c>
      <c r="L109" s="8">
        <v>365.05</v>
      </c>
      <c r="M109" s="7">
        <v>114.73</v>
      </c>
      <c r="N109" s="6">
        <v>104</v>
      </c>
      <c r="O109" s="6">
        <v>30</v>
      </c>
      <c r="P109" s="6">
        <v>2024</v>
      </c>
      <c r="Q109" s="4" t="s">
        <v>352</v>
      </c>
      <c r="R109" s="6">
        <v>1</v>
      </c>
      <c r="S109" s="6">
        <f>MONTH(PQ_cleaned_data[[#This Row],[Order Date]])</f>
        <v>1</v>
      </c>
    </row>
    <row r="110" spans="1:19">
      <c r="A110" s="4" t="s">
        <v>200</v>
      </c>
      <c r="B110" s="5">
        <v>45467</v>
      </c>
      <c r="C110" s="4" t="s">
        <v>65</v>
      </c>
      <c r="D110" s="4" t="s">
        <v>66</v>
      </c>
      <c r="E110" s="4" t="s">
        <v>67</v>
      </c>
      <c r="F110" s="4" t="s">
        <v>62</v>
      </c>
      <c r="G110" s="4" t="s">
        <v>63</v>
      </c>
      <c r="H110" s="6">
        <v>19</v>
      </c>
      <c r="I110" s="7">
        <v>62.52</v>
      </c>
      <c r="J110" s="7">
        <v>1187.8800000000001</v>
      </c>
      <c r="K110" s="7">
        <v>37.14</v>
      </c>
      <c r="L110" s="8">
        <v>705.66</v>
      </c>
      <c r="M110" s="7">
        <v>482.22</v>
      </c>
      <c r="N110" s="6">
        <v>194</v>
      </c>
      <c r="O110" s="6">
        <v>20</v>
      </c>
      <c r="P110" s="6">
        <v>2024</v>
      </c>
      <c r="Q110" s="4" t="s">
        <v>349</v>
      </c>
      <c r="R110" s="6">
        <v>2</v>
      </c>
      <c r="S110" s="6">
        <f>MONTH(PQ_cleaned_data[[#This Row],[Order Date]])</f>
        <v>6</v>
      </c>
    </row>
    <row r="111" spans="1:19">
      <c r="A111" s="4" t="s">
        <v>201</v>
      </c>
      <c r="B111" s="5">
        <v>45313</v>
      </c>
      <c r="C111" s="4" t="s">
        <v>90</v>
      </c>
      <c r="D111" s="4" t="s">
        <v>91</v>
      </c>
      <c r="E111" s="4" t="s">
        <v>72</v>
      </c>
      <c r="F111" s="4" t="s">
        <v>82</v>
      </c>
      <c r="G111" s="4" t="s">
        <v>99</v>
      </c>
      <c r="H111" s="6">
        <v>7</v>
      </c>
      <c r="I111" s="7">
        <v>132.97</v>
      </c>
      <c r="J111" s="7">
        <v>930.79</v>
      </c>
      <c r="K111" s="7">
        <v>53.57</v>
      </c>
      <c r="L111" s="8">
        <v>374.99</v>
      </c>
      <c r="M111" s="7">
        <v>555.79999999999995</v>
      </c>
      <c r="N111" s="6">
        <v>154</v>
      </c>
      <c r="O111" s="6">
        <v>50</v>
      </c>
      <c r="P111" s="6">
        <v>2024</v>
      </c>
      <c r="Q111" s="4" t="s">
        <v>352</v>
      </c>
      <c r="R111" s="6">
        <v>1</v>
      </c>
      <c r="S111" s="6">
        <f>MONTH(PQ_cleaned_data[[#This Row],[Order Date]])</f>
        <v>1</v>
      </c>
    </row>
    <row r="112" spans="1:19">
      <c r="A112" s="4" t="s">
        <v>202</v>
      </c>
      <c r="B112" s="5">
        <v>45467</v>
      </c>
      <c r="C112" s="4" t="s">
        <v>84</v>
      </c>
      <c r="D112" s="4" t="s">
        <v>85</v>
      </c>
      <c r="E112" s="4" t="s">
        <v>86</v>
      </c>
      <c r="F112" s="4" t="s">
        <v>62</v>
      </c>
      <c r="G112" s="4" t="s">
        <v>68</v>
      </c>
      <c r="H112" s="6">
        <v>8</v>
      </c>
      <c r="I112" s="7">
        <v>235.54</v>
      </c>
      <c r="J112" s="7">
        <v>1182</v>
      </c>
      <c r="K112" s="7">
        <v>156.88</v>
      </c>
      <c r="L112" s="8">
        <v>1255.04</v>
      </c>
      <c r="M112" s="7">
        <v>629.28</v>
      </c>
      <c r="N112" s="6">
        <v>96</v>
      </c>
      <c r="O112" s="6">
        <v>50</v>
      </c>
      <c r="P112" s="6">
        <v>2024</v>
      </c>
      <c r="Q112" s="4" t="s">
        <v>349</v>
      </c>
      <c r="R112" s="6">
        <v>2</v>
      </c>
      <c r="S112" s="6">
        <f>MONTH(PQ_cleaned_data[[#This Row],[Order Date]])</f>
        <v>6</v>
      </c>
    </row>
    <row r="113" spans="1:19">
      <c r="A113" s="4" t="s">
        <v>203</v>
      </c>
      <c r="B113" s="5">
        <v>45497</v>
      </c>
      <c r="C113" s="4" t="s">
        <v>111</v>
      </c>
      <c r="D113" s="4" t="s">
        <v>112</v>
      </c>
      <c r="E113" s="4" t="s">
        <v>67</v>
      </c>
      <c r="F113" s="4" t="s">
        <v>119</v>
      </c>
      <c r="G113" s="4" t="s">
        <v>68</v>
      </c>
      <c r="H113" s="6">
        <v>1</v>
      </c>
      <c r="I113" s="7">
        <v>152.47</v>
      </c>
      <c r="J113" s="7">
        <v>152.47</v>
      </c>
      <c r="K113" s="7">
        <v>113.99</v>
      </c>
      <c r="L113" s="8">
        <v>113.99</v>
      </c>
      <c r="M113" s="7">
        <v>38.479999999999997</v>
      </c>
      <c r="N113" s="6">
        <v>71</v>
      </c>
      <c r="O113" s="6">
        <v>50</v>
      </c>
      <c r="P113" s="6">
        <v>2024</v>
      </c>
      <c r="Q113" s="4" t="s">
        <v>350</v>
      </c>
      <c r="R113" s="6">
        <v>3</v>
      </c>
      <c r="S113" s="6">
        <f>MONTH(PQ_cleaned_data[[#This Row],[Order Date]])</f>
        <v>7</v>
      </c>
    </row>
    <row r="114" spans="1:19">
      <c r="A114" s="4" t="s">
        <v>204</v>
      </c>
      <c r="B114" s="5">
        <v>45388</v>
      </c>
      <c r="C114" s="4" t="s">
        <v>65</v>
      </c>
      <c r="D114" s="4" t="s">
        <v>66</v>
      </c>
      <c r="E114" s="4" t="s">
        <v>67</v>
      </c>
      <c r="F114" s="4" t="s">
        <v>76</v>
      </c>
      <c r="G114" s="4" t="s">
        <v>88</v>
      </c>
      <c r="H114" s="6">
        <v>11</v>
      </c>
      <c r="I114" s="7">
        <v>9.07</v>
      </c>
      <c r="J114" s="7">
        <v>99.77</v>
      </c>
      <c r="K114" s="7">
        <v>4.93</v>
      </c>
      <c r="L114" s="8">
        <v>54.23</v>
      </c>
      <c r="M114" s="7">
        <v>45.54</v>
      </c>
      <c r="N114" s="6">
        <v>11</v>
      </c>
      <c r="O114" s="6">
        <v>50</v>
      </c>
      <c r="P114" s="6">
        <v>2024</v>
      </c>
      <c r="Q114" s="4" t="s">
        <v>353</v>
      </c>
      <c r="R114" s="6">
        <v>2</v>
      </c>
      <c r="S114" s="6">
        <f>MONTH(PQ_cleaned_data[[#This Row],[Order Date]])</f>
        <v>4</v>
      </c>
    </row>
    <row r="115" spans="1:19">
      <c r="A115" s="4" t="s">
        <v>205</v>
      </c>
      <c r="B115" s="5">
        <v>45333</v>
      </c>
      <c r="C115" s="4" t="s">
        <v>84</v>
      </c>
      <c r="D115" s="4" t="s">
        <v>85</v>
      </c>
      <c r="E115" s="4" t="s">
        <v>86</v>
      </c>
      <c r="F115" s="4" t="s">
        <v>106</v>
      </c>
      <c r="G115" s="4" t="s">
        <v>88</v>
      </c>
      <c r="H115" s="6">
        <v>14</v>
      </c>
      <c r="I115" s="7">
        <v>235.08</v>
      </c>
      <c r="J115" s="7">
        <v>3291.12</v>
      </c>
      <c r="K115" s="7">
        <v>182.56</v>
      </c>
      <c r="L115" s="8">
        <v>2555.84</v>
      </c>
      <c r="M115" s="7">
        <v>735.28</v>
      </c>
      <c r="N115" s="6">
        <v>121</v>
      </c>
      <c r="O115" s="6">
        <v>50</v>
      </c>
      <c r="P115" s="6">
        <v>2024</v>
      </c>
      <c r="Q115" s="4" t="s">
        <v>348</v>
      </c>
      <c r="R115" s="6">
        <v>1</v>
      </c>
      <c r="S115" s="6">
        <f>MONTH(PQ_cleaned_data[[#This Row],[Order Date]])</f>
        <v>2</v>
      </c>
    </row>
    <row r="116" spans="1:19">
      <c r="A116" s="4" t="s">
        <v>206</v>
      </c>
      <c r="B116" s="5">
        <v>45584</v>
      </c>
      <c r="C116" s="4" t="s">
        <v>65</v>
      </c>
      <c r="D116" s="4" t="s">
        <v>66</v>
      </c>
      <c r="E116" s="4" t="s">
        <v>67</v>
      </c>
      <c r="F116" s="4" t="s">
        <v>82</v>
      </c>
      <c r="G116" s="4" t="s">
        <v>74</v>
      </c>
      <c r="H116" s="6">
        <v>5</v>
      </c>
      <c r="I116" s="7">
        <v>126.99</v>
      </c>
      <c r="J116" s="7">
        <v>634.95000000000005</v>
      </c>
      <c r="K116" s="7">
        <v>55.22</v>
      </c>
      <c r="L116" s="8">
        <v>276.10000000000002</v>
      </c>
      <c r="M116" s="7">
        <v>358.85</v>
      </c>
      <c r="N116" s="6">
        <v>172</v>
      </c>
      <c r="O116" s="6">
        <v>50</v>
      </c>
      <c r="P116" s="6">
        <v>2024</v>
      </c>
      <c r="Q116" s="4" t="s">
        <v>345</v>
      </c>
      <c r="R116" s="6">
        <v>4</v>
      </c>
      <c r="S116" s="6">
        <f>MONTH(PQ_cleaned_data[[#This Row],[Order Date]])</f>
        <v>10</v>
      </c>
    </row>
    <row r="117" spans="1:19">
      <c r="A117" s="4" t="s">
        <v>207</v>
      </c>
      <c r="B117" s="5">
        <v>45416</v>
      </c>
      <c r="C117" s="4" t="s">
        <v>59</v>
      </c>
      <c r="D117" s="4" t="s">
        <v>60</v>
      </c>
      <c r="E117" s="4" t="s">
        <v>61</v>
      </c>
      <c r="F117" s="4" t="s">
        <v>62</v>
      </c>
      <c r="G117" s="4" t="s">
        <v>88</v>
      </c>
      <c r="H117" s="6">
        <v>6</v>
      </c>
      <c r="I117" s="7">
        <v>189.55</v>
      </c>
      <c r="J117" s="7">
        <v>1137.3</v>
      </c>
      <c r="K117" s="7">
        <v>125.84</v>
      </c>
      <c r="L117" s="8">
        <v>755.04</v>
      </c>
      <c r="M117" s="7">
        <v>382.26</v>
      </c>
      <c r="N117" s="6">
        <v>22</v>
      </c>
      <c r="O117" s="6">
        <v>20</v>
      </c>
      <c r="P117" s="6">
        <v>2024</v>
      </c>
      <c r="Q117" s="4" t="s">
        <v>354</v>
      </c>
      <c r="R117" s="6">
        <v>2</v>
      </c>
      <c r="S117" s="6">
        <f>MONTH(PQ_cleaned_data[[#This Row],[Order Date]])</f>
        <v>5</v>
      </c>
    </row>
    <row r="118" spans="1:19">
      <c r="A118" s="4" t="s">
        <v>208</v>
      </c>
      <c r="B118" s="5">
        <v>45435</v>
      </c>
      <c r="C118" s="4" t="s">
        <v>59</v>
      </c>
      <c r="D118" s="4" t="s">
        <v>60</v>
      </c>
      <c r="E118" s="4" t="s">
        <v>61</v>
      </c>
      <c r="F118" s="4" t="s">
        <v>103</v>
      </c>
      <c r="G118" s="4" t="s">
        <v>92</v>
      </c>
      <c r="H118" s="6">
        <v>9</v>
      </c>
      <c r="I118" s="7">
        <v>168.15</v>
      </c>
      <c r="J118" s="7">
        <v>1513.35</v>
      </c>
      <c r="K118" s="7">
        <v>131.26</v>
      </c>
      <c r="L118" s="8">
        <v>1181.3399999999999</v>
      </c>
      <c r="M118" s="7">
        <v>332.01</v>
      </c>
      <c r="N118" s="6">
        <v>171</v>
      </c>
      <c r="O118" s="6">
        <v>20</v>
      </c>
      <c r="P118" s="6">
        <v>2024</v>
      </c>
      <c r="Q118" s="4" t="s">
        <v>354</v>
      </c>
      <c r="R118" s="6">
        <v>2</v>
      </c>
      <c r="S118" s="6">
        <f>MONTH(PQ_cleaned_data[[#This Row],[Order Date]])</f>
        <v>5</v>
      </c>
    </row>
    <row r="119" spans="1:19">
      <c r="A119" s="4" t="s">
        <v>209</v>
      </c>
      <c r="B119" s="5">
        <v>45406</v>
      </c>
      <c r="C119" s="4" t="s">
        <v>90</v>
      </c>
      <c r="D119" s="4" t="s">
        <v>91</v>
      </c>
      <c r="E119" s="4" t="s">
        <v>72</v>
      </c>
      <c r="F119" s="4" t="s">
        <v>62</v>
      </c>
      <c r="G119" s="4" t="s">
        <v>88</v>
      </c>
      <c r="H119" s="6">
        <v>11</v>
      </c>
      <c r="I119" s="7">
        <v>97.37</v>
      </c>
      <c r="J119" s="7">
        <v>1071.07</v>
      </c>
      <c r="K119" s="7">
        <v>66.89</v>
      </c>
      <c r="L119" s="8">
        <v>735.79</v>
      </c>
      <c r="M119" s="7">
        <v>335.28</v>
      </c>
      <c r="N119" s="6">
        <v>188</v>
      </c>
      <c r="O119" s="6">
        <v>50</v>
      </c>
      <c r="P119" s="6">
        <v>2024</v>
      </c>
      <c r="Q119" s="4" t="s">
        <v>353</v>
      </c>
      <c r="R119" s="6">
        <v>2</v>
      </c>
      <c r="S119" s="6">
        <f>MONTH(PQ_cleaned_data[[#This Row],[Order Date]])</f>
        <v>4</v>
      </c>
    </row>
    <row r="120" spans="1:19">
      <c r="A120" s="4" t="s">
        <v>210</v>
      </c>
      <c r="B120" s="5">
        <v>45406</v>
      </c>
      <c r="C120" s="4" t="s">
        <v>70</v>
      </c>
      <c r="D120" s="4" t="s">
        <v>71</v>
      </c>
      <c r="E120" s="4" t="s">
        <v>72</v>
      </c>
      <c r="F120" s="4" t="s">
        <v>119</v>
      </c>
      <c r="G120" s="4" t="s">
        <v>88</v>
      </c>
      <c r="H120" s="6">
        <v>4</v>
      </c>
      <c r="I120" s="7">
        <v>76.290000000000006</v>
      </c>
      <c r="J120" s="7">
        <v>305.16000000000003</v>
      </c>
      <c r="K120" s="7">
        <v>33.909999999999997</v>
      </c>
      <c r="L120" s="8">
        <v>135.63999999999999</v>
      </c>
      <c r="M120" s="7">
        <v>169.52</v>
      </c>
      <c r="N120" s="6">
        <v>87</v>
      </c>
      <c r="O120" s="6">
        <v>50</v>
      </c>
      <c r="P120" s="6">
        <v>2024</v>
      </c>
      <c r="Q120" s="4" t="s">
        <v>353</v>
      </c>
      <c r="R120" s="6">
        <v>2</v>
      </c>
      <c r="S120" s="6">
        <f>MONTH(PQ_cleaned_data[[#This Row],[Order Date]])</f>
        <v>4</v>
      </c>
    </row>
    <row r="121" spans="1:19">
      <c r="A121" s="4" t="s">
        <v>211</v>
      </c>
      <c r="B121" s="5">
        <v>45486</v>
      </c>
      <c r="C121" s="4" t="s">
        <v>65</v>
      </c>
      <c r="D121" s="4" t="s">
        <v>66</v>
      </c>
      <c r="E121" s="4" t="s">
        <v>67</v>
      </c>
      <c r="F121" s="4" t="s">
        <v>76</v>
      </c>
      <c r="G121" s="4" t="s">
        <v>68</v>
      </c>
      <c r="H121" s="6">
        <v>10</v>
      </c>
      <c r="I121" s="7">
        <v>20.16</v>
      </c>
      <c r="J121" s="7">
        <v>201.6</v>
      </c>
      <c r="K121" s="7">
        <v>12.38</v>
      </c>
      <c r="L121" s="8">
        <v>123.8</v>
      </c>
      <c r="M121" s="7">
        <v>77.8</v>
      </c>
      <c r="N121" s="6">
        <v>99</v>
      </c>
      <c r="O121" s="6">
        <v>30</v>
      </c>
      <c r="P121" s="6">
        <v>2024</v>
      </c>
      <c r="Q121" s="4" t="s">
        <v>350</v>
      </c>
      <c r="R121" s="6">
        <v>3</v>
      </c>
      <c r="S121" s="6">
        <f>MONTH(PQ_cleaned_data[[#This Row],[Order Date]])</f>
        <v>7</v>
      </c>
    </row>
    <row r="122" spans="1:19">
      <c r="A122" s="4" t="s">
        <v>212</v>
      </c>
      <c r="B122" s="5">
        <v>45594</v>
      </c>
      <c r="C122" s="4" t="s">
        <v>59</v>
      </c>
      <c r="D122" s="4" t="s">
        <v>60</v>
      </c>
      <c r="E122" s="4" t="s">
        <v>61</v>
      </c>
      <c r="F122" s="4" t="s">
        <v>103</v>
      </c>
      <c r="G122" s="4" t="s">
        <v>68</v>
      </c>
      <c r="H122" s="6">
        <v>4</v>
      </c>
      <c r="I122" s="7">
        <v>101.85</v>
      </c>
      <c r="J122" s="7">
        <v>407.4</v>
      </c>
      <c r="K122" s="7">
        <v>62.67</v>
      </c>
      <c r="L122" s="8">
        <v>250.68</v>
      </c>
      <c r="M122" s="7">
        <v>156.72</v>
      </c>
      <c r="N122" s="6">
        <v>117</v>
      </c>
      <c r="O122" s="6">
        <v>30</v>
      </c>
      <c r="P122" s="6">
        <v>2024</v>
      </c>
      <c r="Q122" s="4" t="s">
        <v>345</v>
      </c>
      <c r="R122" s="6">
        <v>4</v>
      </c>
      <c r="S122" s="6">
        <f>MONTH(PQ_cleaned_data[[#This Row],[Order Date]])</f>
        <v>10</v>
      </c>
    </row>
    <row r="123" spans="1:19">
      <c r="A123" s="4" t="s">
        <v>213</v>
      </c>
      <c r="B123" s="5">
        <v>45366</v>
      </c>
      <c r="C123" s="4" t="s">
        <v>65</v>
      </c>
      <c r="D123" s="4" t="s">
        <v>66</v>
      </c>
      <c r="E123" s="4" t="s">
        <v>67</v>
      </c>
      <c r="F123" s="4" t="s">
        <v>82</v>
      </c>
      <c r="G123" s="4" t="s">
        <v>88</v>
      </c>
      <c r="H123" s="6">
        <v>20</v>
      </c>
      <c r="I123" s="7">
        <v>83.43</v>
      </c>
      <c r="J123" s="7">
        <v>1668.6</v>
      </c>
      <c r="K123" s="7">
        <v>50.14</v>
      </c>
      <c r="L123" s="8">
        <v>1002.8</v>
      </c>
      <c r="M123" s="7">
        <v>665.8</v>
      </c>
      <c r="N123" s="6">
        <v>176</v>
      </c>
      <c r="O123" s="6">
        <v>20</v>
      </c>
      <c r="P123" s="6">
        <v>2024</v>
      </c>
      <c r="Q123" s="4" t="s">
        <v>351</v>
      </c>
      <c r="R123" s="6">
        <v>1</v>
      </c>
      <c r="S123" s="6">
        <f>MONTH(PQ_cleaned_data[[#This Row],[Order Date]])</f>
        <v>3</v>
      </c>
    </row>
    <row r="124" spans="1:19">
      <c r="A124" s="4" t="s">
        <v>214</v>
      </c>
      <c r="B124" s="5">
        <v>45484</v>
      </c>
      <c r="C124" s="4" t="s">
        <v>65</v>
      </c>
      <c r="D124" s="4" t="s">
        <v>66</v>
      </c>
      <c r="E124" s="4" t="s">
        <v>67</v>
      </c>
      <c r="F124" s="4" t="s">
        <v>62</v>
      </c>
      <c r="G124" s="4" t="s">
        <v>74</v>
      </c>
      <c r="H124" s="6">
        <v>11</v>
      </c>
      <c r="I124" s="7">
        <v>42.41</v>
      </c>
      <c r="J124" s="7">
        <v>466.51</v>
      </c>
      <c r="K124" s="7">
        <v>29.12</v>
      </c>
      <c r="L124" s="8">
        <v>320.32</v>
      </c>
      <c r="M124" s="7">
        <v>146.19</v>
      </c>
      <c r="N124" s="6">
        <v>187</v>
      </c>
      <c r="O124" s="6">
        <v>20</v>
      </c>
      <c r="P124" s="6">
        <v>2024</v>
      </c>
      <c r="Q124" s="4" t="s">
        <v>350</v>
      </c>
      <c r="R124" s="6">
        <v>3</v>
      </c>
      <c r="S124" s="6">
        <f>MONTH(PQ_cleaned_data[[#This Row],[Order Date]])</f>
        <v>7</v>
      </c>
    </row>
    <row r="125" spans="1:19">
      <c r="A125" s="4" t="s">
        <v>215</v>
      </c>
      <c r="B125" s="5">
        <v>45373</v>
      </c>
      <c r="C125" s="4" t="s">
        <v>65</v>
      </c>
      <c r="D125" s="4" t="s">
        <v>66</v>
      </c>
      <c r="E125" s="4" t="s">
        <v>67</v>
      </c>
      <c r="F125" s="4" t="s">
        <v>62</v>
      </c>
      <c r="G125" s="4" t="s">
        <v>99</v>
      </c>
      <c r="H125" s="6">
        <v>18</v>
      </c>
      <c r="I125" s="7">
        <v>101.11</v>
      </c>
      <c r="J125" s="7">
        <v>1819.98</v>
      </c>
      <c r="K125" s="7">
        <v>57.53</v>
      </c>
      <c r="L125" s="8">
        <v>1035.54</v>
      </c>
      <c r="M125" s="7">
        <v>784.44</v>
      </c>
      <c r="N125" s="6">
        <v>121</v>
      </c>
      <c r="O125" s="6">
        <v>30</v>
      </c>
      <c r="P125" s="6">
        <v>2024</v>
      </c>
      <c r="Q125" s="4" t="s">
        <v>351</v>
      </c>
      <c r="R125" s="6">
        <v>1</v>
      </c>
      <c r="S125" s="6">
        <f>MONTH(PQ_cleaned_data[[#This Row],[Order Date]])</f>
        <v>3</v>
      </c>
    </row>
    <row r="126" spans="1:19">
      <c r="A126" s="4" t="s">
        <v>216</v>
      </c>
      <c r="B126" s="5">
        <v>45572</v>
      </c>
      <c r="C126" s="4" t="s">
        <v>96</v>
      </c>
      <c r="D126" s="4" t="s">
        <v>97</v>
      </c>
      <c r="E126" s="4" t="s">
        <v>67</v>
      </c>
      <c r="F126" s="4" t="s">
        <v>82</v>
      </c>
      <c r="G126" s="4" t="s">
        <v>99</v>
      </c>
      <c r="H126" s="6">
        <v>4</v>
      </c>
      <c r="I126" s="7">
        <v>37.07</v>
      </c>
      <c r="J126" s="7">
        <v>148.28</v>
      </c>
      <c r="K126" s="7">
        <v>25.98</v>
      </c>
      <c r="L126" s="8">
        <v>103.92</v>
      </c>
      <c r="M126" s="7">
        <v>44.36</v>
      </c>
      <c r="N126" s="6">
        <v>148</v>
      </c>
      <c r="O126" s="6">
        <v>20</v>
      </c>
      <c r="P126" s="6">
        <v>2024</v>
      </c>
      <c r="Q126" s="4" t="s">
        <v>345</v>
      </c>
      <c r="R126" s="6">
        <v>4</v>
      </c>
      <c r="S126" s="6">
        <f>MONTH(PQ_cleaned_data[[#This Row],[Order Date]])</f>
        <v>10</v>
      </c>
    </row>
    <row r="127" spans="1:19">
      <c r="A127" s="4" t="s">
        <v>217</v>
      </c>
      <c r="B127" s="5">
        <v>45366</v>
      </c>
      <c r="C127" s="4" t="s">
        <v>59</v>
      </c>
      <c r="D127" s="4" t="s">
        <v>60</v>
      </c>
      <c r="E127" s="4" t="s">
        <v>61</v>
      </c>
      <c r="F127" s="4" t="s">
        <v>76</v>
      </c>
      <c r="G127" s="4" t="s">
        <v>88</v>
      </c>
      <c r="H127" s="6">
        <v>7</v>
      </c>
      <c r="I127" s="7">
        <v>202.07</v>
      </c>
      <c r="J127" s="7">
        <v>1414.49</v>
      </c>
      <c r="K127" s="7">
        <v>96.64</v>
      </c>
      <c r="L127" s="8">
        <v>676.48</v>
      </c>
      <c r="M127" s="7">
        <v>738.01</v>
      </c>
      <c r="N127" s="6">
        <v>166</v>
      </c>
      <c r="O127" s="6">
        <v>20</v>
      </c>
      <c r="P127" s="6">
        <v>2024</v>
      </c>
      <c r="Q127" s="4" t="s">
        <v>351</v>
      </c>
      <c r="R127" s="6">
        <v>1</v>
      </c>
      <c r="S127" s="6">
        <f>MONTH(PQ_cleaned_data[[#This Row],[Order Date]])</f>
        <v>3</v>
      </c>
    </row>
    <row r="128" spans="1:19">
      <c r="A128" s="4" t="s">
        <v>218</v>
      </c>
      <c r="B128" s="5">
        <v>45484</v>
      </c>
      <c r="C128" s="4" t="s">
        <v>96</v>
      </c>
      <c r="D128" s="4" t="s">
        <v>97</v>
      </c>
      <c r="E128" s="4" t="s">
        <v>67</v>
      </c>
      <c r="F128" s="4" t="s">
        <v>62</v>
      </c>
      <c r="G128" s="4" t="s">
        <v>63</v>
      </c>
      <c r="H128" s="6">
        <v>6</v>
      </c>
      <c r="I128" s="7">
        <v>231.87</v>
      </c>
      <c r="J128" s="7">
        <v>1391.22</v>
      </c>
      <c r="K128" s="7">
        <v>101.66</v>
      </c>
      <c r="L128" s="8">
        <v>609.96</v>
      </c>
      <c r="M128" s="7">
        <v>781.26</v>
      </c>
      <c r="N128" s="6">
        <v>121</v>
      </c>
      <c r="O128" s="6">
        <v>20</v>
      </c>
      <c r="P128" s="6">
        <v>2024</v>
      </c>
      <c r="Q128" s="4" t="s">
        <v>350</v>
      </c>
      <c r="R128" s="6">
        <v>3</v>
      </c>
      <c r="S128" s="6">
        <f>MONTH(PQ_cleaned_data[[#This Row],[Order Date]])</f>
        <v>7</v>
      </c>
    </row>
    <row r="129" spans="1:19">
      <c r="A129" s="4" t="s">
        <v>219</v>
      </c>
      <c r="B129" s="5">
        <v>45613</v>
      </c>
      <c r="C129" s="4" t="s">
        <v>96</v>
      </c>
      <c r="D129" s="4" t="s">
        <v>97</v>
      </c>
      <c r="E129" s="4" t="s">
        <v>67</v>
      </c>
      <c r="F129" s="4" t="s">
        <v>103</v>
      </c>
      <c r="G129" s="4" t="s">
        <v>88</v>
      </c>
      <c r="H129" s="6">
        <v>8</v>
      </c>
      <c r="I129" s="7">
        <v>13.33</v>
      </c>
      <c r="J129" s="7">
        <v>106.64</v>
      </c>
      <c r="K129" s="7">
        <v>6.62</v>
      </c>
      <c r="L129" s="8">
        <v>52.96</v>
      </c>
      <c r="M129" s="7">
        <v>53.68</v>
      </c>
      <c r="N129" s="6">
        <v>125</v>
      </c>
      <c r="O129" s="6">
        <v>30</v>
      </c>
      <c r="P129" s="6">
        <v>2024</v>
      </c>
      <c r="Q129" s="4" t="s">
        <v>355</v>
      </c>
      <c r="R129" s="6">
        <v>4</v>
      </c>
      <c r="S129" s="6">
        <f>MONTH(PQ_cleaned_data[[#This Row],[Order Date]])</f>
        <v>11</v>
      </c>
    </row>
    <row r="130" spans="1:19">
      <c r="A130" s="4" t="s">
        <v>220</v>
      </c>
      <c r="B130" s="5">
        <v>45337</v>
      </c>
      <c r="C130" s="4" t="s">
        <v>78</v>
      </c>
      <c r="D130" s="4" t="s">
        <v>79</v>
      </c>
      <c r="E130" s="4" t="s">
        <v>72</v>
      </c>
      <c r="F130" s="4" t="s">
        <v>62</v>
      </c>
      <c r="G130" s="4" t="s">
        <v>63</v>
      </c>
      <c r="H130" s="6">
        <v>13</v>
      </c>
      <c r="I130" s="7">
        <v>72.430000000000007</v>
      </c>
      <c r="J130" s="7">
        <v>941.59</v>
      </c>
      <c r="K130" s="7">
        <v>47.9</v>
      </c>
      <c r="L130" s="8">
        <v>622.70000000000005</v>
      </c>
      <c r="M130" s="7">
        <v>318.89</v>
      </c>
      <c r="N130" s="6">
        <v>94</v>
      </c>
      <c r="O130" s="6">
        <v>20</v>
      </c>
      <c r="P130" s="6">
        <v>2024</v>
      </c>
      <c r="Q130" s="4" t="s">
        <v>348</v>
      </c>
      <c r="R130" s="6">
        <v>1</v>
      </c>
      <c r="S130" s="6">
        <f>MONTH(PQ_cleaned_data[[#This Row],[Order Date]])</f>
        <v>2</v>
      </c>
    </row>
    <row r="131" spans="1:19">
      <c r="A131" s="4" t="s">
        <v>221</v>
      </c>
      <c r="B131" s="5">
        <v>45303</v>
      </c>
      <c r="C131" s="4" t="s">
        <v>78</v>
      </c>
      <c r="D131" s="4" t="s">
        <v>79</v>
      </c>
      <c r="E131" s="4" t="s">
        <v>72</v>
      </c>
      <c r="F131" s="4" t="s">
        <v>62</v>
      </c>
      <c r="G131" s="4" t="s">
        <v>99</v>
      </c>
      <c r="H131" s="6">
        <v>9</v>
      </c>
      <c r="I131" s="7">
        <v>174.96</v>
      </c>
      <c r="J131" s="7">
        <v>1574.64</v>
      </c>
      <c r="K131" s="7">
        <v>76.599999999999994</v>
      </c>
      <c r="L131" s="8">
        <v>689.4</v>
      </c>
      <c r="M131" s="7">
        <v>885.24</v>
      </c>
      <c r="N131" s="6">
        <v>151</v>
      </c>
      <c r="O131" s="6">
        <v>20</v>
      </c>
      <c r="P131" s="6">
        <v>2024</v>
      </c>
      <c r="Q131" s="4" t="s">
        <v>352</v>
      </c>
      <c r="R131" s="6">
        <v>1</v>
      </c>
      <c r="S131" s="6">
        <f>MONTH(PQ_cleaned_data[[#This Row],[Order Date]])</f>
        <v>1</v>
      </c>
    </row>
    <row r="132" spans="1:19">
      <c r="A132" s="4" t="s">
        <v>222</v>
      </c>
      <c r="B132" s="5">
        <v>45458</v>
      </c>
      <c r="C132" s="4" t="s">
        <v>90</v>
      </c>
      <c r="D132" s="4" t="s">
        <v>91</v>
      </c>
      <c r="E132" s="4" t="s">
        <v>72</v>
      </c>
      <c r="F132" s="4" t="s">
        <v>82</v>
      </c>
      <c r="G132" s="4" t="s">
        <v>63</v>
      </c>
      <c r="H132" s="6">
        <v>18</v>
      </c>
      <c r="I132" s="7">
        <v>50.3</v>
      </c>
      <c r="J132" s="7">
        <v>905.4</v>
      </c>
      <c r="K132" s="7">
        <v>36.47</v>
      </c>
      <c r="L132" s="8">
        <v>656.46</v>
      </c>
      <c r="M132" s="7">
        <v>248.94</v>
      </c>
      <c r="N132" s="6">
        <v>5</v>
      </c>
      <c r="O132" s="6">
        <v>30</v>
      </c>
      <c r="P132" s="6">
        <v>2024</v>
      </c>
      <c r="Q132" s="4" t="s">
        <v>349</v>
      </c>
      <c r="R132" s="6">
        <v>2</v>
      </c>
      <c r="S132" s="6">
        <f>MONTH(PQ_cleaned_data[[#This Row],[Order Date]])</f>
        <v>6</v>
      </c>
    </row>
    <row r="133" spans="1:19">
      <c r="A133" s="4" t="s">
        <v>223</v>
      </c>
      <c r="B133" s="5">
        <v>45355</v>
      </c>
      <c r="C133" s="4" t="s">
        <v>59</v>
      </c>
      <c r="D133" s="4" t="s">
        <v>60</v>
      </c>
      <c r="E133" s="4" t="s">
        <v>61</v>
      </c>
      <c r="F133" s="4" t="s">
        <v>82</v>
      </c>
      <c r="G133" s="4" t="s">
        <v>68</v>
      </c>
      <c r="H133" s="6">
        <v>4</v>
      </c>
      <c r="I133" s="7">
        <v>49.26</v>
      </c>
      <c r="J133" s="7">
        <v>197.04</v>
      </c>
      <c r="K133" s="7">
        <v>31.51</v>
      </c>
      <c r="L133" s="8">
        <v>126.04</v>
      </c>
      <c r="M133" s="7">
        <v>71</v>
      </c>
      <c r="N133" s="6">
        <v>46</v>
      </c>
      <c r="O133" s="6">
        <v>20</v>
      </c>
      <c r="P133" s="6">
        <v>2024</v>
      </c>
      <c r="Q133" s="4" t="s">
        <v>351</v>
      </c>
      <c r="R133" s="6">
        <v>1</v>
      </c>
      <c r="S133" s="6">
        <f>MONTH(PQ_cleaned_data[[#This Row],[Order Date]])</f>
        <v>3</v>
      </c>
    </row>
    <row r="134" spans="1:19">
      <c r="A134" s="4" t="s">
        <v>224</v>
      </c>
      <c r="B134" s="5">
        <v>45579</v>
      </c>
      <c r="C134" s="4" t="s">
        <v>70</v>
      </c>
      <c r="D134" s="4" t="s">
        <v>71</v>
      </c>
      <c r="E134" s="4" t="s">
        <v>72</v>
      </c>
      <c r="F134" s="4" t="s">
        <v>103</v>
      </c>
      <c r="G134" s="4" t="s">
        <v>99</v>
      </c>
      <c r="H134" s="6">
        <v>2</v>
      </c>
      <c r="I134" s="7">
        <v>25.73</v>
      </c>
      <c r="J134" s="7">
        <v>51.46</v>
      </c>
      <c r="K134" s="7">
        <v>71.95</v>
      </c>
      <c r="L134" s="8">
        <v>23.16</v>
      </c>
      <c r="M134" s="7">
        <v>28.3</v>
      </c>
      <c r="N134" s="6">
        <v>76</v>
      </c>
      <c r="O134" s="6">
        <v>30</v>
      </c>
      <c r="P134" s="6">
        <v>2024</v>
      </c>
      <c r="Q134" s="4" t="s">
        <v>345</v>
      </c>
      <c r="R134" s="6">
        <v>4</v>
      </c>
      <c r="S134" s="6">
        <f>MONTH(PQ_cleaned_data[[#This Row],[Order Date]])</f>
        <v>10</v>
      </c>
    </row>
    <row r="135" spans="1:19">
      <c r="A135" s="4" t="s">
        <v>225</v>
      </c>
      <c r="B135" s="5">
        <v>45557</v>
      </c>
      <c r="C135" s="4" t="s">
        <v>70</v>
      </c>
      <c r="D135" s="4" t="s">
        <v>71</v>
      </c>
      <c r="E135" s="4" t="s">
        <v>72</v>
      </c>
      <c r="F135" s="4" t="s">
        <v>76</v>
      </c>
      <c r="G135" s="4" t="s">
        <v>92</v>
      </c>
      <c r="H135" s="6">
        <v>18</v>
      </c>
      <c r="I135" s="7">
        <v>114.01</v>
      </c>
      <c r="J135" s="7">
        <v>1182</v>
      </c>
      <c r="K135" s="7">
        <v>71.92</v>
      </c>
      <c r="L135" s="8">
        <v>1294.56</v>
      </c>
      <c r="M135" s="7">
        <v>757.62</v>
      </c>
      <c r="N135" s="6">
        <v>177</v>
      </c>
      <c r="O135" s="6">
        <v>30</v>
      </c>
      <c r="P135" s="6">
        <v>2024</v>
      </c>
      <c r="Q135" s="4" t="s">
        <v>347</v>
      </c>
      <c r="R135" s="6">
        <v>3</v>
      </c>
      <c r="S135" s="6">
        <f>MONTH(PQ_cleaned_data[[#This Row],[Order Date]])</f>
        <v>9</v>
      </c>
    </row>
    <row r="136" spans="1:19">
      <c r="A136" s="4" t="s">
        <v>226</v>
      </c>
      <c r="B136" s="5">
        <v>45413</v>
      </c>
      <c r="C136" s="4" t="s">
        <v>65</v>
      </c>
      <c r="D136" s="4" t="s">
        <v>66</v>
      </c>
      <c r="E136" s="4" t="s">
        <v>67</v>
      </c>
      <c r="F136" s="4" t="s">
        <v>119</v>
      </c>
      <c r="G136" s="4" t="s">
        <v>92</v>
      </c>
      <c r="H136" s="6">
        <v>7</v>
      </c>
      <c r="I136" s="7">
        <v>39.71</v>
      </c>
      <c r="J136" s="7">
        <v>277.97000000000003</v>
      </c>
      <c r="K136" s="7">
        <v>71.95</v>
      </c>
      <c r="L136" s="8">
        <v>206.36</v>
      </c>
      <c r="M136" s="7">
        <v>71.61</v>
      </c>
      <c r="N136" s="6">
        <v>55</v>
      </c>
      <c r="O136" s="6">
        <v>20</v>
      </c>
      <c r="P136" s="6">
        <v>2024</v>
      </c>
      <c r="Q136" s="4" t="s">
        <v>354</v>
      </c>
      <c r="R136" s="6">
        <v>2</v>
      </c>
      <c r="S136" s="6">
        <f>MONTH(PQ_cleaned_data[[#This Row],[Order Date]])</f>
        <v>5</v>
      </c>
    </row>
    <row r="137" spans="1:19">
      <c r="A137" s="4" t="s">
        <v>227</v>
      </c>
      <c r="B137" s="5">
        <v>45422</v>
      </c>
      <c r="C137" s="4" t="s">
        <v>70</v>
      </c>
      <c r="D137" s="4" t="s">
        <v>71</v>
      </c>
      <c r="E137" s="4" t="s">
        <v>72</v>
      </c>
      <c r="F137" s="4" t="s">
        <v>82</v>
      </c>
      <c r="G137" s="4" t="s">
        <v>88</v>
      </c>
      <c r="H137" s="6">
        <v>13</v>
      </c>
      <c r="I137" s="7">
        <v>164.19</v>
      </c>
      <c r="J137" s="7">
        <v>2134.4699999999998</v>
      </c>
      <c r="K137" s="7">
        <v>71.95</v>
      </c>
      <c r="L137" s="8">
        <v>993.2</v>
      </c>
      <c r="M137" s="7">
        <v>1141.27</v>
      </c>
      <c r="N137" s="6">
        <v>116</v>
      </c>
      <c r="O137" s="6">
        <v>20</v>
      </c>
      <c r="P137" s="6">
        <v>2024</v>
      </c>
      <c r="Q137" s="4" t="s">
        <v>354</v>
      </c>
      <c r="R137" s="6">
        <v>2</v>
      </c>
      <c r="S137" s="6">
        <f>MONTH(PQ_cleaned_data[[#This Row],[Order Date]])</f>
        <v>5</v>
      </c>
    </row>
    <row r="138" spans="1:19">
      <c r="A138" s="4" t="s">
        <v>228</v>
      </c>
      <c r="B138" s="5">
        <v>45429</v>
      </c>
      <c r="C138" s="4" t="s">
        <v>59</v>
      </c>
      <c r="D138" s="4" t="s">
        <v>60</v>
      </c>
      <c r="E138" s="4" t="s">
        <v>61</v>
      </c>
      <c r="F138" s="4" t="s">
        <v>103</v>
      </c>
      <c r="G138" s="4" t="s">
        <v>99</v>
      </c>
      <c r="H138" s="6">
        <v>12</v>
      </c>
      <c r="I138" s="7">
        <v>143.09</v>
      </c>
      <c r="J138" s="7">
        <v>1717.08</v>
      </c>
      <c r="K138" s="7">
        <v>94.31</v>
      </c>
      <c r="L138" s="8">
        <v>1131.72</v>
      </c>
      <c r="M138" s="7">
        <v>585.36</v>
      </c>
      <c r="N138" s="6">
        <v>130</v>
      </c>
      <c r="O138" s="6">
        <v>50</v>
      </c>
      <c r="P138" s="6">
        <v>2024</v>
      </c>
      <c r="Q138" s="4" t="s">
        <v>354</v>
      </c>
      <c r="R138" s="6">
        <v>2</v>
      </c>
      <c r="S138" s="6">
        <f>MONTH(PQ_cleaned_data[[#This Row],[Order Date]])</f>
        <v>5</v>
      </c>
    </row>
    <row r="139" spans="1:19">
      <c r="A139" s="4" t="s">
        <v>229</v>
      </c>
      <c r="B139" s="5">
        <v>45601</v>
      </c>
      <c r="C139" s="4" t="s">
        <v>59</v>
      </c>
      <c r="D139" s="4" t="s">
        <v>60</v>
      </c>
      <c r="E139" s="4" t="s">
        <v>61</v>
      </c>
      <c r="F139" s="4" t="s">
        <v>62</v>
      </c>
      <c r="G139" s="4" t="s">
        <v>88</v>
      </c>
      <c r="H139" s="6">
        <v>3</v>
      </c>
      <c r="I139" s="7">
        <v>71.180000000000007</v>
      </c>
      <c r="J139" s="7">
        <v>213.54</v>
      </c>
      <c r="K139" s="7">
        <v>43.6</v>
      </c>
      <c r="L139" s="8">
        <v>130.80000000000001</v>
      </c>
      <c r="M139" s="7">
        <v>82.74</v>
      </c>
      <c r="N139" s="6">
        <v>175</v>
      </c>
      <c r="O139" s="6">
        <v>50</v>
      </c>
      <c r="P139" s="6">
        <v>2024</v>
      </c>
      <c r="Q139" s="4" t="s">
        <v>355</v>
      </c>
      <c r="R139" s="6">
        <v>4</v>
      </c>
      <c r="S139" s="6">
        <f>MONTH(PQ_cleaned_data[[#This Row],[Order Date]])</f>
        <v>11</v>
      </c>
    </row>
    <row r="140" spans="1:19">
      <c r="A140" s="4" t="s">
        <v>230</v>
      </c>
      <c r="B140" s="5">
        <v>45366</v>
      </c>
      <c r="C140" s="4" t="s">
        <v>59</v>
      </c>
      <c r="D140" s="4" t="s">
        <v>60</v>
      </c>
      <c r="E140" s="4" t="s">
        <v>61</v>
      </c>
      <c r="F140" s="4" t="s">
        <v>106</v>
      </c>
      <c r="G140" s="4" t="s">
        <v>63</v>
      </c>
      <c r="H140" s="6">
        <v>9</v>
      </c>
      <c r="I140" s="7">
        <v>7.42</v>
      </c>
      <c r="J140" s="7">
        <v>66.78</v>
      </c>
      <c r="K140" s="7">
        <v>4.09</v>
      </c>
      <c r="L140" s="8">
        <v>36.81</v>
      </c>
      <c r="M140" s="7">
        <v>29.97</v>
      </c>
      <c r="N140" s="6">
        <v>56</v>
      </c>
      <c r="O140" s="6">
        <v>30</v>
      </c>
      <c r="P140" s="6">
        <v>2024</v>
      </c>
      <c r="Q140" s="4" t="s">
        <v>351</v>
      </c>
      <c r="R140" s="6">
        <v>1</v>
      </c>
      <c r="S140" s="6">
        <f>MONTH(PQ_cleaned_data[[#This Row],[Order Date]])</f>
        <v>3</v>
      </c>
    </row>
    <row r="141" spans="1:19">
      <c r="A141" s="4" t="s">
        <v>231</v>
      </c>
      <c r="B141" s="5">
        <v>45542</v>
      </c>
      <c r="C141" s="4" t="s">
        <v>90</v>
      </c>
      <c r="D141" s="4" t="s">
        <v>91</v>
      </c>
      <c r="E141" s="4" t="s">
        <v>72</v>
      </c>
      <c r="F141" s="4" t="s">
        <v>62</v>
      </c>
      <c r="G141" s="4" t="s">
        <v>88</v>
      </c>
      <c r="H141" s="6">
        <v>17</v>
      </c>
      <c r="I141" s="7">
        <v>90.48</v>
      </c>
      <c r="J141" s="7">
        <v>1538.16</v>
      </c>
      <c r="K141" s="7">
        <v>56.9</v>
      </c>
      <c r="L141" s="8">
        <v>967.3</v>
      </c>
      <c r="M141" s="7">
        <v>570.86</v>
      </c>
      <c r="N141" s="6">
        <v>72</v>
      </c>
      <c r="O141" s="6">
        <v>50</v>
      </c>
      <c r="P141" s="6">
        <v>2024</v>
      </c>
      <c r="Q141" s="4" t="s">
        <v>347</v>
      </c>
      <c r="R141" s="6">
        <v>3</v>
      </c>
      <c r="S141" s="6">
        <f>MONTH(PQ_cleaned_data[[#This Row],[Order Date]])</f>
        <v>9</v>
      </c>
    </row>
    <row r="142" spans="1:19">
      <c r="A142" s="4" t="s">
        <v>232</v>
      </c>
      <c r="B142" s="5">
        <v>45384</v>
      </c>
      <c r="C142" s="4" t="s">
        <v>84</v>
      </c>
      <c r="D142" s="4" t="s">
        <v>85</v>
      </c>
      <c r="E142" s="4" t="s">
        <v>86</v>
      </c>
      <c r="F142" s="4" t="s">
        <v>62</v>
      </c>
      <c r="G142" s="4" t="s">
        <v>68</v>
      </c>
      <c r="H142" s="6">
        <v>18</v>
      </c>
      <c r="I142" s="7">
        <v>140.16</v>
      </c>
      <c r="J142" s="7">
        <v>2522.88</v>
      </c>
      <c r="K142" s="7">
        <v>105.51</v>
      </c>
      <c r="L142" s="8">
        <v>1899.18</v>
      </c>
      <c r="M142" s="7">
        <v>623.70000000000005</v>
      </c>
      <c r="N142" s="6">
        <v>103</v>
      </c>
      <c r="O142" s="6">
        <v>30</v>
      </c>
      <c r="P142" s="6">
        <v>2024</v>
      </c>
      <c r="Q142" s="4" t="s">
        <v>353</v>
      </c>
      <c r="R142" s="6">
        <v>2</v>
      </c>
      <c r="S142" s="6">
        <f>MONTH(PQ_cleaned_data[[#This Row],[Order Date]])</f>
        <v>4</v>
      </c>
    </row>
    <row r="143" spans="1:19">
      <c r="A143" s="4" t="s">
        <v>233</v>
      </c>
      <c r="B143" s="5">
        <v>45485</v>
      </c>
      <c r="C143" s="4" t="s">
        <v>70</v>
      </c>
      <c r="D143" s="4" t="s">
        <v>71</v>
      </c>
      <c r="E143" s="4" t="s">
        <v>72</v>
      </c>
      <c r="F143" s="4" t="s">
        <v>119</v>
      </c>
      <c r="G143" s="4" t="s">
        <v>88</v>
      </c>
      <c r="H143" s="6">
        <v>2</v>
      </c>
      <c r="I143" s="7">
        <v>230.02</v>
      </c>
      <c r="J143" s="7">
        <v>460.04</v>
      </c>
      <c r="K143" s="7">
        <v>150.82</v>
      </c>
      <c r="L143" s="8">
        <v>301.64</v>
      </c>
      <c r="M143" s="7">
        <v>158.4</v>
      </c>
      <c r="N143" s="6">
        <v>94</v>
      </c>
      <c r="O143" s="6">
        <v>50</v>
      </c>
      <c r="P143" s="6">
        <v>2024</v>
      </c>
      <c r="Q143" s="4" t="s">
        <v>350</v>
      </c>
      <c r="R143" s="6">
        <v>3</v>
      </c>
      <c r="S143" s="6">
        <f>MONTH(PQ_cleaned_data[[#This Row],[Order Date]])</f>
        <v>7</v>
      </c>
    </row>
    <row r="144" spans="1:19">
      <c r="A144" s="4" t="s">
        <v>234</v>
      </c>
      <c r="B144" s="5">
        <v>45531</v>
      </c>
      <c r="C144" s="4" t="s">
        <v>70</v>
      </c>
      <c r="D144" s="4" t="s">
        <v>71</v>
      </c>
      <c r="E144" s="4" t="s">
        <v>72</v>
      </c>
      <c r="F144" s="4" t="s">
        <v>82</v>
      </c>
      <c r="G144" s="4" t="s">
        <v>88</v>
      </c>
      <c r="H144" s="6">
        <v>9</v>
      </c>
      <c r="I144" s="7">
        <v>238.39</v>
      </c>
      <c r="J144" s="7">
        <v>2145.5100000000002</v>
      </c>
      <c r="K144" s="7">
        <v>145</v>
      </c>
      <c r="L144" s="8">
        <v>1305</v>
      </c>
      <c r="M144" s="7">
        <v>840.51</v>
      </c>
      <c r="N144" s="6">
        <v>183</v>
      </c>
      <c r="O144" s="6">
        <v>20</v>
      </c>
      <c r="P144" s="6">
        <v>2024</v>
      </c>
      <c r="Q144" s="4" t="s">
        <v>346</v>
      </c>
      <c r="R144" s="6">
        <v>3</v>
      </c>
      <c r="S144" s="6">
        <f>MONTH(PQ_cleaned_data[[#This Row],[Order Date]])</f>
        <v>8</v>
      </c>
    </row>
    <row r="145" spans="1:19">
      <c r="A145" s="4" t="s">
        <v>235</v>
      </c>
      <c r="B145" s="5">
        <v>45338</v>
      </c>
      <c r="C145" s="4" t="s">
        <v>90</v>
      </c>
      <c r="D145" s="4" t="s">
        <v>91</v>
      </c>
      <c r="E145" s="4" t="s">
        <v>72</v>
      </c>
      <c r="F145" s="4" t="s">
        <v>62</v>
      </c>
      <c r="G145" s="4" t="s">
        <v>63</v>
      </c>
      <c r="H145" s="6">
        <v>3</v>
      </c>
      <c r="I145" s="7">
        <v>183.84</v>
      </c>
      <c r="J145" s="7">
        <v>551.52</v>
      </c>
      <c r="K145" s="7">
        <v>143.02000000000001</v>
      </c>
      <c r="L145" s="8">
        <v>429.06</v>
      </c>
      <c r="M145" s="7">
        <v>122.46</v>
      </c>
      <c r="N145" s="6">
        <v>42</v>
      </c>
      <c r="O145" s="6">
        <v>50</v>
      </c>
      <c r="P145" s="6">
        <v>2024</v>
      </c>
      <c r="Q145" s="4" t="s">
        <v>348</v>
      </c>
      <c r="R145" s="6">
        <v>1</v>
      </c>
      <c r="S145" s="6">
        <f>MONTH(PQ_cleaned_data[[#This Row],[Order Date]])</f>
        <v>2</v>
      </c>
    </row>
    <row r="146" spans="1:19">
      <c r="A146" s="4" t="s">
        <v>236</v>
      </c>
      <c r="B146" s="5">
        <v>45509</v>
      </c>
      <c r="C146" s="4" t="s">
        <v>111</v>
      </c>
      <c r="D146" s="4" t="s">
        <v>112</v>
      </c>
      <c r="E146" s="4" t="s">
        <v>67</v>
      </c>
      <c r="F146" s="4" t="s">
        <v>62</v>
      </c>
      <c r="G146" s="4" t="s">
        <v>99</v>
      </c>
      <c r="H146" s="6">
        <v>16</v>
      </c>
      <c r="I146" s="7">
        <v>126.96</v>
      </c>
      <c r="J146" s="7">
        <v>2031.36</v>
      </c>
      <c r="K146" s="7">
        <v>71.95</v>
      </c>
      <c r="L146" s="8">
        <v>1369.28</v>
      </c>
      <c r="M146" s="7">
        <v>662.08</v>
      </c>
      <c r="N146" s="6">
        <v>173</v>
      </c>
      <c r="O146" s="6">
        <v>50</v>
      </c>
      <c r="P146" s="6">
        <v>2024</v>
      </c>
      <c r="Q146" s="4" t="s">
        <v>346</v>
      </c>
      <c r="R146" s="6">
        <v>3</v>
      </c>
      <c r="S146" s="6">
        <f>MONTH(PQ_cleaned_data[[#This Row],[Order Date]])</f>
        <v>8</v>
      </c>
    </row>
    <row r="147" spans="1:19">
      <c r="A147" s="4" t="s">
        <v>237</v>
      </c>
      <c r="B147" s="5">
        <v>45509</v>
      </c>
      <c r="C147" s="4" t="s">
        <v>84</v>
      </c>
      <c r="D147" s="4" t="s">
        <v>85</v>
      </c>
      <c r="E147" s="4" t="s">
        <v>86</v>
      </c>
      <c r="F147" s="4" t="s">
        <v>62</v>
      </c>
      <c r="G147" s="4" t="s">
        <v>92</v>
      </c>
      <c r="H147" s="6">
        <v>8</v>
      </c>
      <c r="I147" s="7">
        <v>248.58</v>
      </c>
      <c r="J147" s="7">
        <v>1988.64</v>
      </c>
      <c r="K147" s="7">
        <v>165.17</v>
      </c>
      <c r="L147" s="8">
        <v>1321.36</v>
      </c>
      <c r="M147" s="7">
        <v>667.28</v>
      </c>
      <c r="N147" s="6">
        <v>135</v>
      </c>
      <c r="O147" s="6">
        <v>50</v>
      </c>
      <c r="P147" s="6">
        <v>2024</v>
      </c>
      <c r="Q147" s="4" t="s">
        <v>346</v>
      </c>
      <c r="R147" s="6">
        <v>3</v>
      </c>
      <c r="S147" s="6">
        <f>MONTH(PQ_cleaned_data[[#This Row],[Order Date]])</f>
        <v>8</v>
      </c>
    </row>
    <row r="148" spans="1:19">
      <c r="A148" s="4" t="s">
        <v>238</v>
      </c>
      <c r="B148" s="5">
        <v>45407</v>
      </c>
      <c r="C148" s="4" t="s">
        <v>111</v>
      </c>
      <c r="D148" s="4" t="s">
        <v>112</v>
      </c>
      <c r="E148" s="4" t="s">
        <v>67</v>
      </c>
      <c r="F148" s="4" t="s">
        <v>62</v>
      </c>
      <c r="G148" s="4" t="s">
        <v>99</v>
      </c>
      <c r="H148" s="6">
        <v>3</v>
      </c>
      <c r="I148" s="7">
        <v>94.93</v>
      </c>
      <c r="J148" s="7">
        <v>284.79000000000002</v>
      </c>
      <c r="K148" s="7">
        <v>43.03</v>
      </c>
      <c r="L148" s="8">
        <v>129.09</v>
      </c>
      <c r="M148" s="7">
        <v>155.69999999999999</v>
      </c>
      <c r="N148" s="6">
        <v>90</v>
      </c>
      <c r="O148" s="6">
        <v>20</v>
      </c>
      <c r="P148" s="6">
        <v>2024</v>
      </c>
      <c r="Q148" s="4" t="s">
        <v>353</v>
      </c>
      <c r="R148" s="6">
        <v>2</v>
      </c>
      <c r="S148" s="6">
        <f>MONTH(PQ_cleaned_data[[#This Row],[Order Date]])</f>
        <v>4</v>
      </c>
    </row>
    <row r="149" spans="1:19">
      <c r="A149" s="4" t="s">
        <v>239</v>
      </c>
      <c r="B149" s="5">
        <v>45419</v>
      </c>
      <c r="C149" s="4" t="s">
        <v>90</v>
      </c>
      <c r="D149" s="4" t="s">
        <v>91</v>
      </c>
      <c r="E149" s="4" t="s">
        <v>72</v>
      </c>
      <c r="F149" s="4" t="s">
        <v>62</v>
      </c>
      <c r="G149" s="4" t="s">
        <v>74</v>
      </c>
      <c r="H149" s="6">
        <v>10</v>
      </c>
      <c r="I149" s="7">
        <v>78.3</v>
      </c>
      <c r="J149" s="7">
        <v>783</v>
      </c>
      <c r="K149" s="7">
        <v>40.51</v>
      </c>
      <c r="L149" s="8">
        <v>405.1</v>
      </c>
      <c r="M149" s="7">
        <v>377.9</v>
      </c>
      <c r="N149" s="6">
        <v>54</v>
      </c>
      <c r="O149" s="6">
        <v>20</v>
      </c>
      <c r="P149" s="6">
        <v>2024</v>
      </c>
      <c r="Q149" s="4" t="s">
        <v>354</v>
      </c>
      <c r="R149" s="6">
        <v>2</v>
      </c>
      <c r="S149" s="6">
        <f>MONTH(PQ_cleaned_data[[#This Row],[Order Date]])</f>
        <v>5</v>
      </c>
    </row>
    <row r="150" spans="1:19">
      <c r="A150" s="4" t="s">
        <v>240</v>
      </c>
      <c r="B150" s="5">
        <v>45310</v>
      </c>
      <c r="C150" s="4" t="s">
        <v>78</v>
      </c>
      <c r="D150" s="4" t="s">
        <v>79</v>
      </c>
      <c r="E150" s="4" t="s">
        <v>72</v>
      </c>
      <c r="F150" s="4" t="s">
        <v>82</v>
      </c>
      <c r="G150" s="4" t="s">
        <v>88</v>
      </c>
      <c r="H150" s="6">
        <v>20</v>
      </c>
      <c r="I150" s="7">
        <v>212.85</v>
      </c>
      <c r="J150" s="7">
        <v>4257</v>
      </c>
      <c r="K150" s="7">
        <v>90.04</v>
      </c>
      <c r="L150" s="8">
        <v>1800.8</v>
      </c>
      <c r="M150" s="7">
        <v>2456.1999999999998</v>
      </c>
      <c r="N150" s="6">
        <v>1</v>
      </c>
      <c r="O150" s="6">
        <v>50</v>
      </c>
      <c r="P150" s="6">
        <v>2024</v>
      </c>
      <c r="Q150" s="4" t="s">
        <v>352</v>
      </c>
      <c r="R150" s="6">
        <v>1</v>
      </c>
      <c r="S150" s="6">
        <f>MONTH(PQ_cleaned_data[[#This Row],[Order Date]])</f>
        <v>1</v>
      </c>
    </row>
    <row r="151" spans="1:19">
      <c r="A151" s="4" t="s">
        <v>241</v>
      </c>
      <c r="B151" s="5">
        <v>45497</v>
      </c>
      <c r="C151" s="4" t="s">
        <v>84</v>
      </c>
      <c r="D151" s="4" t="s">
        <v>85</v>
      </c>
      <c r="E151" s="4" t="s">
        <v>86</v>
      </c>
      <c r="F151" s="4" t="s">
        <v>103</v>
      </c>
      <c r="G151" s="4" t="s">
        <v>99</v>
      </c>
      <c r="H151" s="6">
        <v>1</v>
      </c>
      <c r="I151" s="7">
        <v>29.83</v>
      </c>
      <c r="J151" s="7">
        <v>29.83</v>
      </c>
      <c r="K151" s="7">
        <v>17.8</v>
      </c>
      <c r="L151" s="8">
        <v>17.8</v>
      </c>
      <c r="M151" s="7">
        <v>12.03</v>
      </c>
      <c r="N151" s="6">
        <v>21</v>
      </c>
      <c r="O151" s="6">
        <v>50</v>
      </c>
      <c r="P151" s="6">
        <v>2024</v>
      </c>
      <c r="Q151" s="4" t="s">
        <v>350</v>
      </c>
      <c r="R151" s="6">
        <v>3</v>
      </c>
      <c r="S151" s="6">
        <f>MONTH(PQ_cleaned_data[[#This Row],[Order Date]])</f>
        <v>7</v>
      </c>
    </row>
    <row r="152" spans="1:19">
      <c r="A152" s="4" t="s">
        <v>242</v>
      </c>
      <c r="B152" s="5">
        <v>45407</v>
      </c>
      <c r="C152" s="4" t="s">
        <v>78</v>
      </c>
      <c r="D152" s="4" t="s">
        <v>79</v>
      </c>
      <c r="E152" s="4" t="s">
        <v>72</v>
      </c>
      <c r="F152" s="4" t="s">
        <v>82</v>
      </c>
      <c r="G152" s="4" t="s">
        <v>63</v>
      </c>
      <c r="H152" s="6">
        <v>13</v>
      </c>
      <c r="I152" s="7">
        <v>96.71</v>
      </c>
      <c r="J152" s="7">
        <v>1257.23</v>
      </c>
      <c r="K152" s="7">
        <v>52.78</v>
      </c>
      <c r="L152" s="8">
        <v>686.14</v>
      </c>
      <c r="M152" s="7">
        <v>571.09</v>
      </c>
      <c r="N152" s="6">
        <v>46</v>
      </c>
      <c r="O152" s="6">
        <v>50</v>
      </c>
      <c r="P152" s="6">
        <v>2024</v>
      </c>
      <c r="Q152" s="4" t="s">
        <v>353</v>
      </c>
      <c r="R152" s="6">
        <v>2</v>
      </c>
      <c r="S152" s="6">
        <f>MONTH(PQ_cleaned_data[[#This Row],[Order Date]])</f>
        <v>4</v>
      </c>
    </row>
    <row r="153" spans="1:19">
      <c r="A153" s="4" t="s">
        <v>243</v>
      </c>
      <c r="B153" s="5">
        <v>45514</v>
      </c>
      <c r="C153" s="4" t="s">
        <v>65</v>
      </c>
      <c r="D153" s="4" t="s">
        <v>66</v>
      </c>
      <c r="E153" s="4" t="s">
        <v>67</v>
      </c>
      <c r="F153" s="4" t="s">
        <v>82</v>
      </c>
      <c r="G153" s="4" t="s">
        <v>63</v>
      </c>
      <c r="H153" s="6">
        <v>12</v>
      </c>
      <c r="I153" s="7">
        <v>221.48</v>
      </c>
      <c r="J153" s="7">
        <v>2657.76</v>
      </c>
      <c r="K153" s="7">
        <v>71.95</v>
      </c>
      <c r="L153" s="8">
        <v>1817.04</v>
      </c>
      <c r="M153" s="7">
        <v>840.72</v>
      </c>
      <c r="N153" s="6">
        <v>28</v>
      </c>
      <c r="O153" s="6">
        <v>20</v>
      </c>
      <c r="P153" s="6">
        <v>2024</v>
      </c>
      <c r="Q153" s="4" t="s">
        <v>346</v>
      </c>
      <c r="R153" s="6">
        <v>3</v>
      </c>
      <c r="S153" s="6">
        <f>MONTH(PQ_cleaned_data[[#This Row],[Order Date]])</f>
        <v>8</v>
      </c>
    </row>
    <row r="154" spans="1:19">
      <c r="A154" s="4" t="s">
        <v>244</v>
      </c>
      <c r="B154" s="5">
        <v>45393</v>
      </c>
      <c r="C154" s="4" t="s">
        <v>78</v>
      </c>
      <c r="D154" s="4" t="s">
        <v>79</v>
      </c>
      <c r="E154" s="4" t="s">
        <v>72</v>
      </c>
      <c r="F154" s="4" t="s">
        <v>103</v>
      </c>
      <c r="G154" s="4" t="s">
        <v>68</v>
      </c>
      <c r="H154" s="6">
        <v>9</v>
      </c>
      <c r="I154" s="7">
        <v>34.1</v>
      </c>
      <c r="J154" s="7">
        <v>306.89999999999998</v>
      </c>
      <c r="K154" s="7">
        <v>20.309999999999999</v>
      </c>
      <c r="L154" s="8">
        <v>182.79</v>
      </c>
      <c r="M154" s="7">
        <v>124.11</v>
      </c>
      <c r="N154" s="6">
        <v>126</v>
      </c>
      <c r="O154" s="6">
        <v>50</v>
      </c>
      <c r="P154" s="6">
        <v>2024</v>
      </c>
      <c r="Q154" s="4" t="s">
        <v>353</v>
      </c>
      <c r="R154" s="6">
        <v>2</v>
      </c>
      <c r="S154" s="6">
        <f>MONTH(PQ_cleaned_data[[#This Row],[Order Date]])</f>
        <v>4</v>
      </c>
    </row>
    <row r="155" spans="1:19">
      <c r="A155" s="4" t="s">
        <v>245</v>
      </c>
      <c r="B155" s="5">
        <v>45491</v>
      </c>
      <c r="C155" s="4" t="s">
        <v>111</v>
      </c>
      <c r="D155" s="4" t="s">
        <v>112</v>
      </c>
      <c r="E155" s="4" t="s">
        <v>67</v>
      </c>
      <c r="F155" s="4" t="s">
        <v>62</v>
      </c>
      <c r="G155" s="4" t="s">
        <v>92</v>
      </c>
      <c r="H155" s="6">
        <v>4</v>
      </c>
      <c r="I155" s="7">
        <v>239.63</v>
      </c>
      <c r="J155" s="7">
        <v>1182</v>
      </c>
      <c r="K155" s="7">
        <v>171.84</v>
      </c>
      <c r="L155" s="8">
        <v>687.36</v>
      </c>
      <c r="M155" s="7">
        <v>271.16000000000003</v>
      </c>
      <c r="N155" s="6">
        <v>32</v>
      </c>
      <c r="O155" s="6">
        <v>20</v>
      </c>
      <c r="P155" s="6">
        <v>2024</v>
      </c>
      <c r="Q155" s="4" t="s">
        <v>350</v>
      </c>
      <c r="R155" s="6">
        <v>3</v>
      </c>
      <c r="S155" s="6">
        <f>MONTH(PQ_cleaned_data[[#This Row],[Order Date]])</f>
        <v>7</v>
      </c>
    </row>
    <row r="156" spans="1:19">
      <c r="A156" s="4" t="s">
        <v>246</v>
      </c>
      <c r="B156" s="5">
        <v>45511</v>
      </c>
      <c r="C156" s="4" t="s">
        <v>65</v>
      </c>
      <c r="D156" s="4" t="s">
        <v>66</v>
      </c>
      <c r="E156" s="4" t="s">
        <v>67</v>
      </c>
      <c r="F156" s="4" t="s">
        <v>119</v>
      </c>
      <c r="G156" s="4" t="s">
        <v>92</v>
      </c>
      <c r="H156" s="6">
        <v>14</v>
      </c>
      <c r="I156" s="7">
        <v>122.65</v>
      </c>
      <c r="J156" s="7">
        <v>1717.1</v>
      </c>
      <c r="K156" s="7">
        <v>62.91</v>
      </c>
      <c r="L156" s="8">
        <v>880.74</v>
      </c>
      <c r="M156" s="7">
        <v>836.36</v>
      </c>
      <c r="N156" s="6">
        <v>21</v>
      </c>
      <c r="O156" s="6">
        <v>30</v>
      </c>
      <c r="P156" s="6">
        <v>2024</v>
      </c>
      <c r="Q156" s="4" t="s">
        <v>346</v>
      </c>
      <c r="R156" s="6">
        <v>3</v>
      </c>
      <c r="S156" s="6">
        <f>MONTH(PQ_cleaned_data[[#This Row],[Order Date]])</f>
        <v>8</v>
      </c>
    </row>
    <row r="157" spans="1:19">
      <c r="A157" s="4" t="s">
        <v>247</v>
      </c>
      <c r="B157" s="5">
        <v>45426</v>
      </c>
      <c r="C157" s="4" t="s">
        <v>59</v>
      </c>
      <c r="D157" s="4" t="s">
        <v>60</v>
      </c>
      <c r="E157" s="4" t="s">
        <v>61</v>
      </c>
      <c r="F157" s="4" t="s">
        <v>103</v>
      </c>
      <c r="G157" s="4" t="s">
        <v>74</v>
      </c>
      <c r="H157" s="6">
        <v>14</v>
      </c>
      <c r="I157" s="7">
        <v>53.61</v>
      </c>
      <c r="J157" s="7">
        <v>750.54</v>
      </c>
      <c r="K157" s="7">
        <v>36.590000000000003</v>
      </c>
      <c r="L157" s="8">
        <v>512.26</v>
      </c>
      <c r="M157" s="7">
        <v>238.28</v>
      </c>
      <c r="N157" s="6">
        <v>26</v>
      </c>
      <c r="O157" s="6">
        <v>50</v>
      </c>
      <c r="P157" s="6">
        <v>2024</v>
      </c>
      <c r="Q157" s="4" t="s">
        <v>354</v>
      </c>
      <c r="R157" s="6">
        <v>2</v>
      </c>
      <c r="S157" s="6">
        <f>MONTH(PQ_cleaned_data[[#This Row],[Order Date]])</f>
        <v>5</v>
      </c>
    </row>
    <row r="158" spans="1:19">
      <c r="A158" s="4" t="s">
        <v>248</v>
      </c>
      <c r="B158" s="5">
        <v>45359</v>
      </c>
      <c r="C158" s="4" t="s">
        <v>96</v>
      </c>
      <c r="D158" s="4" t="s">
        <v>97</v>
      </c>
      <c r="E158" s="4" t="s">
        <v>67</v>
      </c>
      <c r="F158" s="4" t="s">
        <v>62</v>
      </c>
      <c r="G158" s="4" t="s">
        <v>92</v>
      </c>
      <c r="H158" s="6">
        <v>2</v>
      </c>
      <c r="I158" s="7">
        <v>72.099999999999994</v>
      </c>
      <c r="J158" s="7">
        <v>144.19999999999999</v>
      </c>
      <c r="K158" s="7">
        <v>34.380000000000003</v>
      </c>
      <c r="L158" s="8">
        <v>68.760000000000005</v>
      </c>
      <c r="M158" s="7">
        <v>75.44</v>
      </c>
      <c r="N158" s="6">
        <v>37</v>
      </c>
      <c r="O158" s="6">
        <v>30</v>
      </c>
      <c r="P158" s="6">
        <v>2024</v>
      </c>
      <c r="Q158" s="4" t="s">
        <v>351</v>
      </c>
      <c r="R158" s="6">
        <v>1</v>
      </c>
      <c r="S158" s="6">
        <f>MONTH(PQ_cleaned_data[[#This Row],[Order Date]])</f>
        <v>3</v>
      </c>
    </row>
    <row r="159" spans="1:19">
      <c r="A159" s="4" t="s">
        <v>249</v>
      </c>
      <c r="B159" s="5">
        <v>45616</v>
      </c>
      <c r="C159" s="4" t="s">
        <v>59</v>
      </c>
      <c r="D159" s="4" t="s">
        <v>60</v>
      </c>
      <c r="E159" s="4" t="s">
        <v>61</v>
      </c>
      <c r="F159" s="4" t="s">
        <v>62</v>
      </c>
      <c r="G159" s="4" t="s">
        <v>68</v>
      </c>
      <c r="H159" s="6">
        <v>8</v>
      </c>
      <c r="I159" s="7">
        <v>87.36</v>
      </c>
      <c r="J159" s="7">
        <v>698.88</v>
      </c>
      <c r="K159" s="7">
        <v>51.69</v>
      </c>
      <c r="L159" s="8">
        <v>413.52</v>
      </c>
      <c r="M159" s="7">
        <v>285.36</v>
      </c>
      <c r="N159" s="6">
        <v>130</v>
      </c>
      <c r="O159" s="6">
        <v>30</v>
      </c>
      <c r="P159" s="6">
        <v>2024</v>
      </c>
      <c r="Q159" s="4" t="s">
        <v>355</v>
      </c>
      <c r="R159" s="6">
        <v>4</v>
      </c>
      <c r="S159" s="6">
        <f>MONTH(PQ_cleaned_data[[#This Row],[Order Date]])</f>
        <v>11</v>
      </c>
    </row>
    <row r="160" spans="1:19">
      <c r="A160" s="4" t="s">
        <v>250</v>
      </c>
      <c r="B160" s="5">
        <v>45418</v>
      </c>
      <c r="C160" s="4" t="s">
        <v>84</v>
      </c>
      <c r="D160" s="4" t="s">
        <v>85</v>
      </c>
      <c r="E160" s="4" t="s">
        <v>86</v>
      </c>
      <c r="F160" s="4" t="s">
        <v>76</v>
      </c>
      <c r="G160" s="4" t="s">
        <v>74</v>
      </c>
      <c r="H160" s="6">
        <v>2</v>
      </c>
      <c r="I160" s="7">
        <v>49.53</v>
      </c>
      <c r="J160" s="7">
        <v>99.06</v>
      </c>
      <c r="K160" s="7">
        <v>19.82</v>
      </c>
      <c r="L160" s="8">
        <v>39.64</v>
      </c>
      <c r="M160" s="7">
        <v>59.42</v>
      </c>
      <c r="N160" s="6">
        <v>169</v>
      </c>
      <c r="O160" s="6">
        <v>50</v>
      </c>
      <c r="P160" s="6">
        <v>2024</v>
      </c>
      <c r="Q160" s="4" t="s">
        <v>354</v>
      </c>
      <c r="R160" s="6">
        <v>2</v>
      </c>
      <c r="S160" s="6">
        <f>MONTH(PQ_cleaned_data[[#This Row],[Order Date]])</f>
        <v>5</v>
      </c>
    </row>
    <row r="161" spans="1:19">
      <c r="A161" s="4" t="s">
        <v>251</v>
      </c>
      <c r="B161" s="5">
        <v>45421</v>
      </c>
      <c r="C161" s="4" t="s">
        <v>78</v>
      </c>
      <c r="D161" s="4" t="s">
        <v>79</v>
      </c>
      <c r="E161" s="4" t="s">
        <v>72</v>
      </c>
      <c r="F161" s="4" t="s">
        <v>103</v>
      </c>
      <c r="G161" s="4" t="s">
        <v>68</v>
      </c>
      <c r="H161" s="6">
        <v>12</v>
      </c>
      <c r="I161" s="7">
        <v>86.9</v>
      </c>
      <c r="J161" s="7">
        <v>1042.8</v>
      </c>
      <c r="K161" s="7">
        <v>38.64</v>
      </c>
      <c r="L161" s="8">
        <v>463.68</v>
      </c>
      <c r="M161" s="7">
        <v>579.12</v>
      </c>
      <c r="N161" s="6">
        <v>171</v>
      </c>
      <c r="O161" s="6">
        <v>20</v>
      </c>
      <c r="P161" s="6">
        <v>2024</v>
      </c>
      <c r="Q161" s="4" t="s">
        <v>354</v>
      </c>
      <c r="R161" s="6">
        <v>2</v>
      </c>
      <c r="S161" s="6">
        <f>MONTH(PQ_cleaned_data[[#This Row],[Order Date]])</f>
        <v>5</v>
      </c>
    </row>
    <row r="162" spans="1:19">
      <c r="A162" s="4" t="s">
        <v>252</v>
      </c>
      <c r="B162" s="5">
        <v>45601</v>
      </c>
      <c r="C162" s="4" t="s">
        <v>84</v>
      </c>
      <c r="D162" s="4" t="s">
        <v>85</v>
      </c>
      <c r="E162" s="4" t="s">
        <v>86</v>
      </c>
      <c r="F162" s="4" t="s">
        <v>106</v>
      </c>
      <c r="G162" s="4" t="s">
        <v>74</v>
      </c>
      <c r="H162" s="6">
        <v>8</v>
      </c>
      <c r="I162" s="7">
        <v>164.31</v>
      </c>
      <c r="J162" s="7">
        <v>1182</v>
      </c>
      <c r="K162" s="7">
        <v>79.53</v>
      </c>
      <c r="L162" s="8">
        <v>636.24</v>
      </c>
      <c r="M162" s="7">
        <v>678.24</v>
      </c>
      <c r="N162" s="6">
        <v>98</v>
      </c>
      <c r="O162" s="6">
        <v>20</v>
      </c>
      <c r="P162" s="6">
        <v>2024</v>
      </c>
      <c r="Q162" s="4" t="s">
        <v>355</v>
      </c>
      <c r="R162" s="6">
        <v>4</v>
      </c>
      <c r="S162" s="6">
        <f>MONTH(PQ_cleaned_data[[#This Row],[Order Date]])</f>
        <v>11</v>
      </c>
    </row>
    <row r="163" spans="1:19">
      <c r="A163" s="4" t="s">
        <v>253</v>
      </c>
      <c r="B163" s="5">
        <v>45389</v>
      </c>
      <c r="C163" s="4" t="s">
        <v>59</v>
      </c>
      <c r="D163" s="4" t="s">
        <v>60</v>
      </c>
      <c r="E163" s="4" t="s">
        <v>61</v>
      </c>
      <c r="F163" s="4" t="s">
        <v>76</v>
      </c>
      <c r="G163" s="4" t="s">
        <v>68</v>
      </c>
      <c r="H163" s="6">
        <v>15</v>
      </c>
      <c r="I163" s="7">
        <v>231.75</v>
      </c>
      <c r="J163" s="7">
        <v>3476.25</v>
      </c>
      <c r="K163" s="7">
        <v>99.64</v>
      </c>
      <c r="L163" s="8">
        <v>1494.6</v>
      </c>
      <c r="M163" s="7">
        <v>1981.65</v>
      </c>
      <c r="N163" s="6">
        <v>139</v>
      </c>
      <c r="O163" s="6">
        <v>50</v>
      </c>
      <c r="P163" s="6">
        <v>2024</v>
      </c>
      <c r="Q163" s="4" t="s">
        <v>353</v>
      </c>
      <c r="R163" s="6">
        <v>2</v>
      </c>
      <c r="S163" s="6">
        <f>MONTH(PQ_cleaned_data[[#This Row],[Order Date]])</f>
        <v>4</v>
      </c>
    </row>
    <row r="164" spans="1:19">
      <c r="A164" s="4" t="s">
        <v>254</v>
      </c>
      <c r="B164" s="5">
        <v>45314</v>
      </c>
      <c r="C164" s="4" t="s">
        <v>111</v>
      </c>
      <c r="D164" s="4" t="s">
        <v>112</v>
      </c>
      <c r="E164" s="4" t="s">
        <v>67</v>
      </c>
      <c r="F164" s="4" t="s">
        <v>76</v>
      </c>
      <c r="G164" s="4" t="s">
        <v>68</v>
      </c>
      <c r="H164" s="6">
        <v>7</v>
      </c>
      <c r="I164" s="7">
        <v>107.46</v>
      </c>
      <c r="J164" s="7">
        <v>752.22</v>
      </c>
      <c r="K164" s="7">
        <v>71.95</v>
      </c>
      <c r="L164" s="8">
        <v>514.99</v>
      </c>
      <c r="M164" s="7">
        <v>237.23</v>
      </c>
      <c r="N164" s="6">
        <v>194</v>
      </c>
      <c r="O164" s="6">
        <v>50</v>
      </c>
      <c r="P164" s="6">
        <v>2024</v>
      </c>
      <c r="Q164" s="4" t="s">
        <v>352</v>
      </c>
      <c r="R164" s="6">
        <v>1</v>
      </c>
      <c r="S164" s="6">
        <f>MONTH(PQ_cleaned_data[[#This Row],[Order Date]])</f>
        <v>1</v>
      </c>
    </row>
    <row r="165" spans="1:19">
      <c r="A165" s="4" t="s">
        <v>255</v>
      </c>
      <c r="B165" s="5">
        <v>45506</v>
      </c>
      <c r="C165" s="4" t="s">
        <v>65</v>
      </c>
      <c r="D165" s="4" t="s">
        <v>66</v>
      </c>
      <c r="E165" s="4" t="s">
        <v>67</v>
      </c>
      <c r="F165" s="4" t="s">
        <v>62</v>
      </c>
      <c r="G165" s="4" t="s">
        <v>92</v>
      </c>
      <c r="H165" s="6">
        <v>6</v>
      </c>
      <c r="I165" s="7">
        <v>151.79</v>
      </c>
      <c r="J165" s="7">
        <v>910.74</v>
      </c>
      <c r="K165" s="7">
        <v>103.02</v>
      </c>
      <c r="L165" s="8">
        <v>618.12</v>
      </c>
      <c r="M165" s="7">
        <v>292.62</v>
      </c>
      <c r="N165" s="6">
        <v>33</v>
      </c>
      <c r="O165" s="6">
        <v>30</v>
      </c>
      <c r="P165" s="6">
        <v>2024</v>
      </c>
      <c r="Q165" s="4" t="s">
        <v>346</v>
      </c>
      <c r="R165" s="6">
        <v>3</v>
      </c>
      <c r="S165" s="6">
        <f>MONTH(PQ_cleaned_data[[#This Row],[Order Date]])</f>
        <v>8</v>
      </c>
    </row>
    <row r="166" spans="1:19">
      <c r="A166" s="4" t="s">
        <v>256</v>
      </c>
      <c r="B166" s="5">
        <v>45545</v>
      </c>
      <c r="C166" s="4" t="s">
        <v>90</v>
      </c>
      <c r="D166" s="4" t="s">
        <v>91</v>
      </c>
      <c r="E166" s="4" t="s">
        <v>72</v>
      </c>
      <c r="F166" s="4" t="s">
        <v>62</v>
      </c>
      <c r="G166" s="4" t="s">
        <v>92</v>
      </c>
      <c r="H166" s="6">
        <v>6</v>
      </c>
      <c r="I166" s="7">
        <v>112.25</v>
      </c>
      <c r="J166" s="7">
        <v>673.5</v>
      </c>
      <c r="K166" s="7">
        <v>67.77</v>
      </c>
      <c r="L166" s="8">
        <v>406.62</v>
      </c>
      <c r="M166" s="7">
        <v>266.88</v>
      </c>
      <c r="N166" s="6">
        <v>143</v>
      </c>
      <c r="O166" s="6">
        <v>30</v>
      </c>
      <c r="P166" s="6">
        <v>2024</v>
      </c>
      <c r="Q166" s="4" t="s">
        <v>347</v>
      </c>
      <c r="R166" s="6">
        <v>3</v>
      </c>
      <c r="S166" s="6">
        <f>MONTH(PQ_cleaned_data[[#This Row],[Order Date]])</f>
        <v>9</v>
      </c>
    </row>
    <row r="167" spans="1:19">
      <c r="A167" s="4" t="s">
        <v>257</v>
      </c>
      <c r="B167" s="5">
        <v>45296</v>
      </c>
      <c r="C167" s="4" t="s">
        <v>78</v>
      </c>
      <c r="D167" s="4" t="s">
        <v>79</v>
      </c>
      <c r="E167" s="4" t="s">
        <v>72</v>
      </c>
      <c r="F167" s="4" t="s">
        <v>82</v>
      </c>
      <c r="G167" s="4" t="s">
        <v>88</v>
      </c>
      <c r="H167" s="6">
        <v>17</v>
      </c>
      <c r="I167" s="7">
        <v>178.4</v>
      </c>
      <c r="J167" s="7">
        <v>3032.8</v>
      </c>
      <c r="K167" s="7">
        <v>108.83</v>
      </c>
      <c r="L167" s="8">
        <v>1850.11</v>
      </c>
      <c r="M167" s="7">
        <v>1182.69</v>
      </c>
      <c r="N167" s="6">
        <v>77</v>
      </c>
      <c r="O167" s="6">
        <v>20</v>
      </c>
      <c r="P167" s="6">
        <v>2024</v>
      </c>
      <c r="Q167" s="4" t="s">
        <v>352</v>
      </c>
      <c r="R167" s="6">
        <v>1</v>
      </c>
      <c r="S167" s="6">
        <f>MONTH(PQ_cleaned_data[[#This Row],[Order Date]])</f>
        <v>1</v>
      </c>
    </row>
    <row r="168" spans="1:19">
      <c r="A168" s="4" t="s">
        <v>258</v>
      </c>
      <c r="B168" s="5">
        <v>45441</v>
      </c>
      <c r="C168" s="4" t="s">
        <v>65</v>
      </c>
      <c r="D168" s="4" t="s">
        <v>66</v>
      </c>
      <c r="E168" s="4" t="s">
        <v>67</v>
      </c>
      <c r="F168" s="4" t="s">
        <v>62</v>
      </c>
      <c r="G168" s="4" t="s">
        <v>88</v>
      </c>
      <c r="H168" s="6">
        <v>5</v>
      </c>
      <c r="I168" s="7">
        <v>235.8</v>
      </c>
      <c r="J168" s="7">
        <v>1179</v>
      </c>
      <c r="K168" s="7">
        <v>120.52</v>
      </c>
      <c r="L168" s="8">
        <v>602.6</v>
      </c>
      <c r="M168" s="7">
        <v>576.4</v>
      </c>
      <c r="N168" s="6">
        <v>34</v>
      </c>
      <c r="O168" s="6">
        <v>30</v>
      </c>
      <c r="P168" s="6">
        <v>2024</v>
      </c>
      <c r="Q168" s="4" t="s">
        <v>354</v>
      </c>
      <c r="R168" s="6">
        <v>2</v>
      </c>
      <c r="S168" s="6">
        <f>MONTH(PQ_cleaned_data[[#This Row],[Order Date]])</f>
        <v>5</v>
      </c>
    </row>
    <row r="169" spans="1:19">
      <c r="A169" s="4" t="s">
        <v>259</v>
      </c>
      <c r="B169" s="5">
        <v>45469</v>
      </c>
      <c r="C169" s="4" t="s">
        <v>84</v>
      </c>
      <c r="D169" s="4" t="s">
        <v>85</v>
      </c>
      <c r="E169" s="4" t="s">
        <v>86</v>
      </c>
      <c r="F169" s="4" t="s">
        <v>103</v>
      </c>
      <c r="G169" s="4" t="s">
        <v>99</v>
      </c>
      <c r="H169" s="6">
        <v>11</v>
      </c>
      <c r="I169" s="7">
        <v>25.4</v>
      </c>
      <c r="J169" s="7">
        <v>279.39999999999998</v>
      </c>
      <c r="K169" s="7">
        <v>17.329999999999998</v>
      </c>
      <c r="L169" s="8">
        <v>190.63</v>
      </c>
      <c r="M169" s="7">
        <v>88.77</v>
      </c>
      <c r="N169" s="6">
        <v>140</v>
      </c>
      <c r="O169" s="6">
        <v>30</v>
      </c>
      <c r="P169" s="6">
        <v>2024</v>
      </c>
      <c r="Q169" s="4" t="s">
        <v>349</v>
      </c>
      <c r="R169" s="6">
        <v>2</v>
      </c>
      <c r="S169" s="6">
        <f>MONTH(PQ_cleaned_data[[#This Row],[Order Date]])</f>
        <v>6</v>
      </c>
    </row>
    <row r="170" spans="1:19">
      <c r="A170" s="4" t="s">
        <v>260</v>
      </c>
      <c r="B170" s="5">
        <v>45297</v>
      </c>
      <c r="C170" s="4" t="s">
        <v>84</v>
      </c>
      <c r="D170" s="4" t="s">
        <v>85</v>
      </c>
      <c r="E170" s="4" t="s">
        <v>86</v>
      </c>
      <c r="F170" s="4" t="s">
        <v>106</v>
      </c>
      <c r="G170" s="4" t="s">
        <v>88</v>
      </c>
      <c r="H170" s="6">
        <v>8</v>
      </c>
      <c r="I170" s="7">
        <v>183.97</v>
      </c>
      <c r="J170" s="7">
        <v>1471.76</v>
      </c>
      <c r="K170" s="7">
        <v>94.17</v>
      </c>
      <c r="L170" s="8">
        <v>753.36</v>
      </c>
      <c r="M170" s="7">
        <v>718.4</v>
      </c>
      <c r="N170" s="6">
        <v>65</v>
      </c>
      <c r="O170" s="6">
        <v>20</v>
      </c>
      <c r="P170" s="6">
        <v>2024</v>
      </c>
      <c r="Q170" s="4" t="s">
        <v>352</v>
      </c>
      <c r="R170" s="6">
        <v>1</v>
      </c>
      <c r="S170" s="6">
        <f>MONTH(PQ_cleaned_data[[#This Row],[Order Date]])</f>
        <v>1</v>
      </c>
    </row>
    <row r="171" spans="1:19">
      <c r="A171" s="4" t="s">
        <v>261</v>
      </c>
      <c r="B171" s="5">
        <v>45616</v>
      </c>
      <c r="C171" s="4" t="s">
        <v>59</v>
      </c>
      <c r="D171" s="4" t="s">
        <v>60</v>
      </c>
      <c r="E171" s="4" t="s">
        <v>61</v>
      </c>
      <c r="F171" s="4" t="s">
        <v>62</v>
      </c>
      <c r="G171" s="4" t="s">
        <v>74</v>
      </c>
      <c r="H171" s="6">
        <v>15</v>
      </c>
      <c r="I171" s="7">
        <v>59.06</v>
      </c>
      <c r="J171" s="7">
        <v>885.9</v>
      </c>
      <c r="K171" s="7">
        <v>29.97</v>
      </c>
      <c r="L171" s="8">
        <v>449.55</v>
      </c>
      <c r="M171" s="7">
        <v>436.35</v>
      </c>
      <c r="N171" s="6">
        <v>148</v>
      </c>
      <c r="O171" s="6">
        <v>50</v>
      </c>
      <c r="P171" s="6">
        <v>2024</v>
      </c>
      <c r="Q171" s="4" t="s">
        <v>355</v>
      </c>
      <c r="R171" s="6">
        <v>4</v>
      </c>
      <c r="S171" s="6">
        <f>MONTH(PQ_cleaned_data[[#This Row],[Order Date]])</f>
        <v>11</v>
      </c>
    </row>
    <row r="172" spans="1:19">
      <c r="A172" s="4" t="s">
        <v>262</v>
      </c>
      <c r="B172" s="5">
        <v>45537</v>
      </c>
      <c r="C172" s="4" t="s">
        <v>90</v>
      </c>
      <c r="D172" s="4" t="s">
        <v>91</v>
      </c>
      <c r="E172" s="4" t="s">
        <v>72</v>
      </c>
      <c r="F172" s="4" t="s">
        <v>82</v>
      </c>
      <c r="G172" s="4" t="s">
        <v>88</v>
      </c>
      <c r="H172" s="6">
        <v>16</v>
      </c>
      <c r="I172" s="7">
        <v>49.47</v>
      </c>
      <c r="J172" s="7">
        <v>791.52</v>
      </c>
      <c r="K172" s="7">
        <v>23.45</v>
      </c>
      <c r="L172" s="8">
        <v>375.2</v>
      </c>
      <c r="M172" s="7">
        <v>416.32</v>
      </c>
      <c r="N172" s="6">
        <v>45</v>
      </c>
      <c r="O172" s="6">
        <v>20</v>
      </c>
      <c r="P172" s="6">
        <v>2024</v>
      </c>
      <c r="Q172" s="4" t="s">
        <v>347</v>
      </c>
      <c r="R172" s="6">
        <v>3</v>
      </c>
      <c r="S172" s="6">
        <f>MONTH(PQ_cleaned_data[[#This Row],[Order Date]])</f>
        <v>9</v>
      </c>
    </row>
    <row r="173" spans="1:19">
      <c r="A173" s="4" t="s">
        <v>263</v>
      </c>
      <c r="B173" s="5">
        <v>45493</v>
      </c>
      <c r="C173" s="4" t="s">
        <v>59</v>
      </c>
      <c r="D173" s="4" t="s">
        <v>60</v>
      </c>
      <c r="E173" s="4" t="s">
        <v>61</v>
      </c>
      <c r="F173" s="4" t="s">
        <v>62</v>
      </c>
      <c r="G173" s="4" t="s">
        <v>63</v>
      </c>
      <c r="H173" s="6">
        <v>3</v>
      </c>
      <c r="I173" s="7">
        <v>40.159999999999997</v>
      </c>
      <c r="J173" s="7">
        <v>120.48</v>
      </c>
      <c r="K173" s="7">
        <v>71.95</v>
      </c>
      <c r="L173" s="8">
        <v>68.73</v>
      </c>
      <c r="M173" s="7">
        <v>51.75</v>
      </c>
      <c r="N173" s="6">
        <v>116</v>
      </c>
      <c r="O173" s="6">
        <v>50</v>
      </c>
      <c r="P173" s="6">
        <v>2024</v>
      </c>
      <c r="Q173" s="4" t="s">
        <v>350</v>
      </c>
      <c r="R173" s="6">
        <v>3</v>
      </c>
      <c r="S173" s="6">
        <f>MONTH(PQ_cleaned_data[[#This Row],[Order Date]])</f>
        <v>7</v>
      </c>
    </row>
    <row r="174" spans="1:19">
      <c r="A174" s="4" t="s">
        <v>264</v>
      </c>
      <c r="B174" s="5">
        <v>45343</v>
      </c>
      <c r="C174" s="4" t="s">
        <v>96</v>
      </c>
      <c r="D174" s="4" t="s">
        <v>97</v>
      </c>
      <c r="E174" s="4" t="s">
        <v>67</v>
      </c>
      <c r="F174" s="4" t="s">
        <v>62</v>
      </c>
      <c r="G174" s="4" t="s">
        <v>88</v>
      </c>
      <c r="H174" s="6">
        <v>13</v>
      </c>
      <c r="I174" s="7">
        <v>10.08</v>
      </c>
      <c r="J174" s="7">
        <v>131.04</v>
      </c>
      <c r="K174" s="7">
        <v>7.36</v>
      </c>
      <c r="L174" s="8">
        <v>95.68</v>
      </c>
      <c r="M174" s="7">
        <v>35.36</v>
      </c>
      <c r="N174" s="6">
        <v>195</v>
      </c>
      <c r="O174" s="6">
        <v>50</v>
      </c>
      <c r="P174" s="6">
        <v>2024</v>
      </c>
      <c r="Q174" s="4" t="s">
        <v>348</v>
      </c>
      <c r="R174" s="6">
        <v>1</v>
      </c>
      <c r="S174" s="6">
        <f>MONTH(PQ_cleaned_data[[#This Row],[Order Date]])</f>
        <v>2</v>
      </c>
    </row>
    <row r="175" spans="1:19">
      <c r="A175" s="4" t="s">
        <v>265</v>
      </c>
      <c r="B175" s="5">
        <v>45298</v>
      </c>
      <c r="C175" s="4" t="s">
        <v>65</v>
      </c>
      <c r="D175" s="4" t="s">
        <v>66</v>
      </c>
      <c r="E175" s="4" t="s">
        <v>67</v>
      </c>
      <c r="F175" s="4" t="s">
        <v>119</v>
      </c>
      <c r="G175" s="4" t="s">
        <v>74</v>
      </c>
      <c r="H175" s="6">
        <v>4</v>
      </c>
      <c r="I175" s="7">
        <v>137.88</v>
      </c>
      <c r="J175" s="7">
        <v>551.52</v>
      </c>
      <c r="K175" s="7">
        <v>100.28</v>
      </c>
      <c r="L175" s="8">
        <v>401.12</v>
      </c>
      <c r="M175" s="7">
        <v>150.4</v>
      </c>
      <c r="N175" s="6">
        <v>181</v>
      </c>
      <c r="O175" s="6">
        <v>20</v>
      </c>
      <c r="P175" s="6">
        <v>2024</v>
      </c>
      <c r="Q175" s="4" t="s">
        <v>352</v>
      </c>
      <c r="R175" s="6">
        <v>1</v>
      </c>
      <c r="S175" s="6">
        <f>MONTH(PQ_cleaned_data[[#This Row],[Order Date]])</f>
        <v>1</v>
      </c>
    </row>
    <row r="176" spans="1:19">
      <c r="A176" s="4" t="s">
        <v>266</v>
      </c>
      <c r="B176" s="5">
        <v>45461</v>
      </c>
      <c r="C176" s="4" t="s">
        <v>78</v>
      </c>
      <c r="D176" s="4" t="s">
        <v>79</v>
      </c>
      <c r="E176" s="4" t="s">
        <v>72</v>
      </c>
      <c r="F176" s="4" t="s">
        <v>106</v>
      </c>
      <c r="G176" s="4" t="s">
        <v>88</v>
      </c>
      <c r="H176" s="6">
        <v>5</v>
      </c>
      <c r="I176" s="7">
        <v>64.73</v>
      </c>
      <c r="J176" s="7">
        <v>323.64999999999998</v>
      </c>
      <c r="K176" s="7">
        <v>39.96</v>
      </c>
      <c r="L176" s="8">
        <v>199.8</v>
      </c>
      <c r="M176" s="7">
        <v>123.85</v>
      </c>
      <c r="N176" s="6">
        <v>68</v>
      </c>
      <c r="O176" s="6">
        <v>50</v>
      </c>
      <c r="P176" s="6">
        <v>2024</v>
      </c>
      <c r="Q176" s="4" t="s">
        <v>349</v>
      </c>
      <c r="R176" s="6">
        <v>2</v>
      </c>
      <c r="S176" s="6">
        <f>MONTH(PQ_cleaned_data[[#This Row],[Order Date]])</f>
        <v>6</v>
      </c>
    </row>
    <row r="177" spans="1:19">
      <c r="A177" s="4" t="s">
        <v>267</v>
      </c>
      <c r="B177" s="5">
        <v>45504</v>
      </c>
      <c r="C177" s="4" t="s">
        <v>111</v>
      </c>
      <c r="D177" s="4" t="s">
        <v>112</v>
      </c>
      <c r="E177" s="4" t="s">
        <v>67</v>
      </c>
      <c r="F177" s="4" t="s">
        <v>103</v>
      </c>
      <c r="G177" s="4" t="s">
        <v>68</v>
      </c>
      <c r="H177" s="6">
        <v>1</v>
      </c>
      <c r="I177" s="7">
        <v>228.48</v>
      </c>
      <c r="J177" s="7">
        <v>228.48</v>
      </c>
      <c r="K177" s="7">
        <v>93.59</v>
      </c>
      <c r="L177" s="8">
        <v>93.59</v>
      </c>
      <c r="M177" s="7">
        <v>134.88999999999999</v>
      </c>
      <c r="N177" s="6">
        <v>109</v>
      </c>
      <c r="O177" s="6">
        <v>30</v>
      </c>
      <c r="P177" s="6">
        <v>2024</v>
      </c>
      <c r="Q177" s="4" t="s">
        <v>350</v>
      </c>
      <c r="R177" s="6">
        <v>3</v>
      </c>
      <c r="S177" s="6">
        <f>MONTH(PQ_cleaned_data[[#This Row],[Order Date]])</f>
        <v>7</v>
      </c>
    </row>
    <row r="178" spans="1:19">
      <c r="A178" s="4" t="s">
        <v>268</v>
      </c>
      <c r="B178" s="5">
        <v>45349</v>
      </c>
      <c r="C178" s="4" t="s">
        <v>78</v>
      </c>
      <c r="D178" s="4" t="s">
        <v>79</v>
      </c>
      <c r="E178" s="4" t="s">
        <v>72</v>
      </c>
      <c r="F178" s="4" t="s">
        <v>106</v>
      </c>
      <c r="G178" s="4" t="s">
        <v>92</v>
      </c>
      <c r="H178" s="6">
        <v>6</v>
      </c>
      <c r="I178" s="7">
        <v>247.74</v>
      </c>
      <c r="J178" s="7">
        <v>1486.44</v>
      </c>
      <c r="K178" s="7">
        <v>71.95</v>
      </c>
      <c r="L178" s="8">
        <v>728.1</v>
      </c>
      <c r="M178" s="7">
        <v>758.34</v>
      </c>
      <c r="N178" s="6">
        <v>72</v>
      </c>
      <c r="O178" s="6">
        <v>30</v>
      </c>
      <c r="P178" s="6">
        <v>2024</v>
      </c>
      <c r="Q178" s="4" t="s">
        <v>348</v>
      </c>
      <c r="R178" s="6">
        <v>1</v>
      </c>
      <c r="S178" s="6">
        <f>MONTH(PQ_cleaned_data[[#This Row],[Order Date]])</f>
        <v>2</v>
      </c>
    </row>
    <row r="179" spans="1:19">
      <c r="A179" s="4" t="s">
        <v>269</v>
      </c>
      <c r="B179" s="5">
        <v>45314</v>
      </c>
      <c r="C179" s="4" t="s">
        <v>111</v>
      </c>
      <c r="D179" s="4" t="s">
        <v>112</v>
      </c>
      <c r="E179" s="4" t="s">
        <v>67</v>
      </c>
      <c r="F179" s="4" t="s">
        <v>62</v>
      </c>
      <c r="G179" s="4" t="s">
        <v>74</v>
      </c>
      <c r="H179" s="6">
        <v>6</v>
      </c>
      <c r="I179" s="7">
        <v>110.01</v>
      </c>
      <c r="J179" s="7">
        <v>660.06</v>
      </c>
      <c r="K179" s="7">
        <v>58.74</v>
      </c>
      <c r="L179" s="8">
        <v>352.44</v>
      </c>
      <c r="M179" s="7">
        <v>307.62</v>
      </c>
      <c r="N179" s="6">
        <v>46</v>
      </c>
      <c r="O179" s="6">
        <v>50</v>
      </c>
      <c r="P179" s="6">
        <v>2024</v>
      </c>
      <c r="Q179" s="4" t="s">
        <v>352</v>
      </c>
      <c r="R179" s="6">
        <v>1</v>
      </c>
      <c r="S179" s="6">
        <f>MONTH(PQ_cleaned_data[[#This Row],[Order Date]])</f>
        <v>1</v>
      </c>
    </row>
    <row r="180" spans="1:19">
      <c r="A180" s="4" t="s">
        <v>270</v>
      </c>
      <c r="B180" s="5">
        <v>45345</v>
      </c>
      <c r="C180" s="4" t="s">
        <v>70</v>
      </c>
      <c r="D180" s="4" t="s">
        <v>71</v>
      </c>
      <c r="E180" s="4" t="s">
        <v>72</v>
      </c>
      <c r="F180" s="4" t="s">
        <v>62</v>
      </c>
      <c r="G180" s="4" t="s">
        <v>74</v>
      </c>
      <c r="H180" s="6">
        <v>16</v>
      </c>
      <c r="I180" s="7">
        <v>167.12</v>
      </c>
      <c r="J180" s="7">
        <v>2673.92</v>
      </c>
      <c r="K180" s="7">
        <v>129.21</v>
      </c>
      <c r="L180" s="8">
        <v>2067.36</v>
      </c>
      <c r="M180" s="7">
        <v>606.55999999999995</v>
      </c>
      <c r="N180" s="6">
        <v>182</v>
      </c>
      <c r="O180" s="6">
        <v>20</v>
      </c>
      <c r="P180" s="6">
        <v>2024</v>
      </c>
      <c r="Q180" s="4" t="s">
        <v>348</v>
      </c>
      <c r="R180" s="6">
        <v>1</v>
      </c>
      <c r="S180" s="6">
        <f>MONTH(PQ_cleaned_data[[#This Row],[Order Date]])</f>
        <v>2</v>
      </c>
    </row>
    <row r="181" spans="1:19">
      <c r="A181" s="4" t="s">
        <v>271</v>
      </c>
      <c r="B181" s="5">
        <v>45536</v>
      </c>
      <c r="C181" s="4" t="s">
        <v>90</v>
      </c>
      <c r="D181" s="4" t="s">
        <v>91</v>
      </c>
      <c r="E181" s="4" t="s">
        <v>72</v>
      </c>
      <c r="F181" s="4" t="s">
        <v>106</v>
      </c>
      <c r="G181" s="4" t="s">
        <v>68</v>
      </c>
      <c r="H181" s="6">
        <v>4</v>
      </c>
      <c r="I181" s="7">
        <v>146.57</v>
      </c>
      <c r="J181" s="7">
        <v>586.28</v>
      </c>
      <c r="K181" s="7">
        <v>114.89</v>
      </c>
      <c r="L181" s="8">
        <v>459.56</v>
      </c>
      <c r="M181" s="7">
        <v>126.72</v>
      </c>
      <c r="N181" s="6">
        <v>71</v>
      </c>
      <c r="O181" s="6">
        <v>20</v>
      </c>
      <c r="P181" s="6">
        <v>2024</v>
      </c>
      <c r="Q181" s="4" t="s">
        <v>347</v>
      </c>
      <c r="R181" s="6">
        <v>3</v>
      </c>
      <c r="S181" s="6">
        <f>MONTH(PQ_cleaned_data[[#This Row],[Order Date]])</f>
        <v>9</v>
      </c>
    </row>
    <row r="182" spans="1:19">
      <c r="A182" s="4" t="s">
        <v>272</v>
      </c>
      <c r="B182" s="5">
        <v>45509</v>
      </c>
      <c r="C182" s="4" t="s">
        <v>78</v>
      </c>
      <c r="D182" s="4" t="s">
        <v>79</v>
      </c>
      <c r="E182" s="4" t="s">
        <v>72</v>
      </c>
      <c r="F182" s="4" t="s">
        <v>119</v>
      </c>
      <c r="G182" s="4" t="s">
        <v>99</v>
      </c>
      <c r="H182" s="6">
        <v>14</v>
      </c>
      <c r="I182" s="7">
        <v>152.43</v>
      </c>
      <c r="J182" s="7">
        <v>2134.02</v>
      </c>
      <c r="K182" s="7">
        <v>99.79</v>
      </c>
      <c r="L182" s="8">
        <v>1397.06</v>
      </c>
      <c r="M182" s="7">
        <v>736.96</v>
      </c>
      <c r="N182" s="6">
        <v>35</v>
      </c>
      <c r="O182" s="6">
        <v>50</v>
      </c>
      <c r="P182" s="6">
        <v>2024</v>
      </c>
      <c r="Q182" s="4" t="s">
        <v>346</v>
      </c>
      <c r="R182" s="6">
        <v>3</v>
      </c>
      <c r="S182" s="6">
        <f>MONTH(PQ_cleaned_data[[#This Row],[Order Date]])</f>
        <v>8</v>
      </c>
    </row>
    <row r="183" spans="1:19">
      <c r="A183" s="4" t="s">
        <v>273</v>
      </c>
      <c r="B183" s="5">
        <v>45409</v>
      </c>
      <c r="C183" s="4" t="s">
        <v>96</v>
      </c>
      <c r="D183" s="4" t="s">
        <v>97</v>
      </c>
      <c r="E183" s="4" t="s">
        <v>67</v>
      </c>
      <c r="F183" s="4" t="s">
        <v>62</v>
      </c>
      <c r="G183" s="4" t="s">
        <v>88</v>
      </c>
      <c r="H183" s="6">
        <v>3</v>
      </c>
      <c r="I183" s="7">
        <v>147.34</v>
      </c>
      <c r="J183" s="7">
        <v>442.02</v>
      </c>
      <c r="K183" s="7">
        <v>83.8</v>
      </c>
      <c r="L183" s="8">
        <v>251.4</v>
      </c>
      <c r="M183" s="7">
        <v>190.62</v>
      </c>
      <c r="N183" s="6">
        <v>147</v>
      </c>
      <c r="O183" s="6">
        <v>50</v>
      </c>
      <c r="P183" s="6">
        <v>2024</v>
      </c>
      <c r="Q183" s="4" t="s">
        <v>353</v>
      </c>
      <c r="R183" s="6">
        <v>2</v>
      </c>
      <c r="S183" s="6">
        <f>MONTH(PQ_cleaned_data[[#This Row],[Order Date]])</f>
        <v>4</v>
      </c>
    </row>
    <row r="184" spans="1:19">
      <c r="A184" s="4" t="s">
        <v>274</v>
      </c>
      <c r="B184" s="5">
        <v>45477</v>
      </c>
      <c r="C184" s="4" t="s">
        <v>78</v>
      </c>
      <c r="D184" s="4" t="s">
        <v>79</v>
      </c>
      <c r="E184" s="4" t="s">
        <v>72</v>
      </c>
      <c r="F184" s="4" t="s">
        <v>103</v>
      </c>
      <c r="G184" s="4" t="s">
        <v>68</v>
      </c>
      <c r="H184" s="6">
        <v>5</v>
      </c>
      <c r="I184" s="7">
        <v>230.62</v>
      </c>
      <c r="J184" s="7">
        <v>1153.0999999999999</v>
      </c>
      <c r="K184" s="7">
        <v>97.74</v>
      </c>
      <c r="L184" s="8">
        <v>488.7</v>
      </c>
      <c r="M184" s="7">
        <v>664.4</v>
      </c>
      <c r="N184" s="6">
        <v>89</v>
      </c>
      <c r="O184" s="6">
        <v>30</v>
      </c>
      <c r="P184" s="6">
        <v>2024</v>
      </c>
      <c r="Q184" s="4" t="s">
        <v>350</v>
      </c>
      <c r="R184" s="6">
        <v>3</v>
      </c>
      <c r="S184" s="6">
        <f>MONTH(PQ_cleaned_data[[#This Row],[Order Date]])</f>
        <v>7</v>
      </c>
    </row>
    <row r="185" spans="1:19">
      <c r="A185" s="4" t="s">
        <v>275</v>
      </c>
      <c r="B185" s="5">
        <v>45507</v>
      </c>
      <c r="C185" s="4" t="s">
        <v>59</v>
      </c>
      <c r="D185" s="4" t="s">
        <v>60</v>
      </c>
      <c r="E185" s="4" t="s">
        <v>61</v>
      </c>
      <c r="F185" s="4" t="s">
        <v>103</v>
      </c>
      <c r="G185" s="4" t="s">
        <v>99</v>
      </c>
      <c r="H185" s="6">
        <v>7</v>
      </c>
      <c r="I185" s="7">
        <v>207.82</v>
      </c>
      <c r="J185" s="7">
        <v>1454.74</v>
      </c>
      <c r="K185" s="7">
        <v>71.95</v>
      </c>
      <c r="L185" s="8">
        <v>614.39</v>
      </c>
      <c r="M185" s="7">
        <v>840.35</v>
      </c>
      <c r="N185" s="6">
        <v>35</v>
      </c>
      <c r="O185" s="6">
        <v>20</v>
      </c>
      <c r="P185" s="6">
        <v>2024</v>
      </c>
      <c r="Q185" s="4" t="s">
        <v>346</v>
      </c>
      <c r="R185" s="6">
        <v>3</v>
      </c>
      <c r="S185" s="6">
        <f>MONTH(PQ_cleaned_data[[#This Row],[Order Date]])</f>
        <v>8</v>
      </c>
    </row>
    <row r="186" spans="1:19">
      <c r="A186" s="4" t="s">
        <v>276</v>
      </c>
      <c r="B186" s="5">
        <v>45346</v>
      </c>
      <c r="C186" s="4" t="s">
        <v>90</v>
      </c>
      <c r="D186" s="4" t="s">
        <v>91</v>
      </c>
      <c r="E186" s="4" t="s">
        <v>72</v>
      </c>
      <c r="F186" s="4" t="s">
        <v>62</v>
      </c>
      <c r="G186" s="4" t="s">
        <v>88</v>
      </c>
      <c r="H186" s="6">
        <v>16</v>
      </c>
      <c r="I186" s="7">
        <v>210.17</v>
      </c>
      <c r="J186" s="7">
        <v>3362.72</v>
      </c>
      <c r="K186" s="7">
        <v>157.25</v>
      </c>
      <c r="L186" s="8">
        <v>2516</v>
      </c>
      <c r="M186" s="7">
        <v>846.72</v>
      </c>
      <c r="N186" s="6">
        <v>7</v>
      </c>
      <c r="O186" s="6">
        <v>20</v>
      </c>
      <c r="P186" s="6">
        <v>2024</v>
      </c>
      <c r="Q186" s="4" t="s">
        <v>348</v>
      </c>
      <c r="R186" s="6">
        <v>1</v>
      </c>
      <c r="S186" s="6">
        <f>MONTH(PQ_cleaned_data[[#This Row],[Order Date]])</f>
        <v>2</v>
      </c>
    </row>
    <row r="187" spans="1:19">
      <c r="A187" s="4" t="s">
        <v>277</v>
      </c>
      <c r="B187" s="5">
        <v>45368</v>
      </c>
      <c r="C187" s="4" t="s">
        <v>111</v>
      </c>
      <c r="D187" s="4" t="s">
        <v>112</v>
      </c>
      <c r="E187" s="4" t="s">
        <v>67</v>
      </c>
      <c r="F187" s="4" t="s">
        <v>82</v>
      </c>
      <c r="G187" s="4" t="s">
        <v>99</v>
      </c>
      <c r="H187" s="6">
        <v>16</v>
      </c>
      <c r="I187" s="7">
        <v>187.17</v>
      </c>
      <c r="J187" s="7">
        <v>2994.72</v>
      </c>
      <c r="K187" s="7">
        <v>71.95</v>
      </c>
      <c r="L187" s="8">
        <v>2094.08</v>
      </c>
      <c r="M187" s="7">
        <v>900.64</v>
      </c>
      <c r="N187" s="6">
        <v>178</v>
      </c>
      <c r="O187" s="6">
        <v>30</v>
      </c>
      <c r="P187" s="6">
        <v>2024</v>
      </c>
      <c r="Q187" s="4" t="s">
        <v>351</v>
      </c>
      <c r="R187" s="6">
        <v>1</v>
      </c>
      <c r="S187" s="6">
        <f>MONTH(PQ_cleaned_data[[#This Row],[Order Date]])</f>
        <v>3</v>
      </c>
    </row>
    <row r="188" spans="1:19">
      <c r="A188" s="4" t="s">
        <v>278</v>
      </c>
      <c r="B188" s="5">
        <v>45348</v>
      </c>
      <c r="C188" s="4" t="s">
        <v>111</v>
      </c>
      <c r="D188" s="4" t="s">
        <v>112</v>
      </c>
      <c r="E188" s="4" t="s">
        <v>67</v>
      </c>
      <c r="F188" s="4" t="s">
        <v>103</v>
      </c>
      <c r="G188" s="4" t="s">
        <v>63</v>
      </c>
      <c r="H188" s="6">
        <v>2</v>
      </c>
      <c r="I188" s="7">
        <v>220.88</v>
      </c>
      <c r="J188" s="7">
        <v>441.76</v>
      </c>
      <c r="K188" s="7">
        <v>91.19</v>
      </c>
      <c r="L188" s="8">
        <v>182.38</v>
      </c>
      <c r="M188" s="7">
        <v>259.38</v>
      </c>
      <c r="N188" s="6">
        <v>192</v>
      </c>
      <c r="O188" s="6">
        <v>20</v>
      </c>
      <c r="P188" s="6">
        <v>2024</v>
      </c>
      <c r="Q188" s="4" t="s">
        <v>348</v>
      </c>
      <c r="R188" s="6">
        <v>1</v>
      </c>
      <c r="S188" s="6">
        <f>MONTH(PQ_cleaned_data[[#This Row],[Order Date]])</f>
        <v>2</v>
      </c>
    </row>
    <row r="189" spans="1:19">
      <c r="A189" s="4" t="s">
        <v>279</v>
      </c>
      <c r="B189" s="5">
        <v>45424</v>
      </c>
      <c r="C189" s="4" t="s">
        <v>70</v>
      </c>
      <c r="D189" s="4" t="s">
        <v>71</v>
      </c>
      <c r="E189" s="4" t="s">
        <v>72</v>
      </c>
      <c r="F189" s="4" t="s">
        <v>62</v>
      </c>
      <c r="G189" s="4" t="s">
        <v>74</v>
      </c>
      <c r="H189" s="6">
        <v>8</v>
      </c>
      <c r="I189" s="7">
        <v>108.8</v>
      </c>
      <c r="J189" s="7">
        <v>1182</v>
      </c>
      <c r="K189" s="7">
        <v>50.34</v>
      </c>
      <c r="L189" s="8">
        <v>402.72</v>
      </c>
      <c r="M189" s="7">
        <v>467.68</v>
      </c>
      <c r="N189" s="6">
        <v>23</v>
      </c>
      <c r="O189" s="6">
        <v>50</v>
      </c>
      <c r="P189" s="6">
        <v>2024</v>
      </c>
      <c r="Q189" s="4" t="s">
        <v>354</v>
      </c>
      <c r="R189" s="6">
        <v>2</v>
      </c>
      <c r="S189" s="6">
        <f>MONTH(PQ_cleaned_data[[#This Row],[Order Date]])</f>
        <v>5</v>
      </c>
    </row>
    <row r="190" spans="1:19">
      <c r="A190" s="4" t="s">
        <v>280</v>
      </c>
      <c r="B190" s="5">
        <v>45578</v>
      </c>
      <c r="C190" s="4" t="s">
        <v>90</v>
      </c>
      <c r="D190" s="4" t="s">
        <v>91</v>
      </c>
      <c r="E190" s="4" t="s">
        <v>72</v>
      </c>
      <c r="F190" s="4" t="s">
        <v>103</v>
      </c>
      <c r="G190" s="4" t="s">
        <v>63</v>
      </c>
      <c r="H190" s="6">
        <v>15</v>
      </c>
      <c r="I190" s="7">
        <v>121.97</v>
      </c>
      <c r="J190" s="7">
        <v>1829.55</v>
      </c>
      <c r="K190" s="7">
        <v>80.63</v>
      </c>
      <c r="L190" s="8">
        <v>1209.45</v>
      </c>
      <c r="M190" s="7">
        <v>620.1</v>
      </c>
      <c r="N190" s="6">
        <v>103</v>
      </c>
      <c r="O190" s="6">
        <v>30</v>
      </c>
      <c r="P190" s="6">
        <v>2024</v>
      </c>
      <c r="Q190" s="4" t="s">
        <v>345</v>
      </c>
      <c r="R190" s="6">
        <v>4</v>
      </c>
      <c r="S190" s="6">
        <f>MONTH(PQ_cleaned_data[[#This Row],[Order Date]])</f>
        <v>10</v>
      </c>
    </row>
    <row r="191" spans="1:19">
      <c r="A191" s="4" t="s">
        <v>281</v>
      </c>
      <c r="B191" s="5">
        <v>45331</v>
      </c>
      <c r="C191" s="4" t="s">
        <v>84</v>
      </c>
      <c r="D191" s="4" t="s">
        <v>85</v>
      </c>
      <c r="E191" s="4" t="s">
        <v>86</v>
      </c>
      <c r="F191" s="4" t="s">
        <v>62</v>
      </c>
      <c r="G191" s="4" t="s">
        <v>92</v>
      </c>
      <c r="H191" s="6">
        <v>20</v>
      </c>
      <c r="I191" s="7">
        <v>195.81</v>
      </c>
      <c r="J191" s="7">
        <v>1182</v>
      </c>
      <c r="K191" s="7">
        <v>104.6</v>
      </c>
      <c r="L191" s="8">
        <v>2092</v>
      </c>
      <c r="M191" s="7">
        <v>1824.2</v>
      </c>
      <c r="N191" s="6">
        <v>61</v>
      </c>
      <c r="O191" s="6">
        <v>30</v>
      </c>
      <c r="P191" s="6">
        <v>2024</v>
      </c>
      <c r="Q191" s="4" t="s">
        <v>348</v>
      </c>
      <c r="R191" s="6">
        <v>1</v>
      </c>
      <c r="S191" s="6">
        <f>MONTH(PQ_cleaned_data[[#This Row],[Order Date]])</f>
        <v>2</v>
      </c>
    </row>
    <row r="192" spans="1:19">
      <c r="A192" s="4" t="s">
        <v>282</v>
      </c>
      <c r="B192" s="5">
        <v>45388</v>
      </c>
      <c r="C192" s="4" t="s">
        <v>59</v>
      </c>
      <c r="D192" s="4" t="s">
        <v>60</v>
      </c>
      <c r="E192" s="4" t="s">
        <v>61</v>
      </c>
      <c r="F192" s="4" t="s">
        <v>62</v>
      </c>
      <c r="G192" s="4" t="s">
        <v>92</v>
      </c>
      <c r="H192" s="6">
        <v>2</v>
      </c>
      <c r="I192" s="7">
        <v>63.88</v>
      </c>
      <c r="J192" s="7">
        <v>1182</v>
      </c>
      <c r="K192" s="7">
        <v>71.95</v>
      </c>
      <c r="L192" s="8">
        <v>55.44</v>
      </c>
      <c r="M192" s="7">
        <v>72.319999999999993</v>
      </c>
      <c r="N192" s="6">
        <v>145</v>
      </c>
      <c r="O192" s="6">
        <v>50</v>
      </c>
      <c r="P192" s="6">
        <v>2024</v>
      </c>
      <c r="Q192" s="4" t="s">
        <v>353</v>
      </c>
      <c r="R192" s="6">
        <v>2</v>
      </c>
      <c r="S192" s="6">
        <f>MONTH(PQ_cleaned_data[[#This Row],[Order Date]])</f>
        <v>4</v>
      </c>
    </row>
    <row r="193" spans="1:19">
      <c r="A193" s="4" t="s">
        <v>283</v>
      </c>
      <c r="B193" s="5">
        <v>45450</v>
      </c>
      <c r="C193" s="4" t="s">
        <v>65</v>
      </c>
      <c r="D193" s="4" t="s">
        <v>66</v>
      </c>
      <c r="E193" s="4" t="s">
        <v>67</v>
      </c>
      <c r="F193" s="4" t="s">
        <v>76</v>
      </c>
      <c r="G193" s="4" t="s">
        <v>99</v>
      </c>
      <c r="H193" s="6">
        <v>12</v>
      </c>
      <c r="I193" s="7">
        <v>189.16</v>
      </c>
      <c r="J193" s="7">
        <v>2269.92</v>
      </c>
      <c r="K193" s="7">
        <v>71.95</v>
      </c>
      <c r="L193" s="8">
        <v>1778.52</v>
      </c>
      <c r="M193" s="7">
        <v>491.4</v>
      </c>
      <c r="N193" s="6">
        <v>128</v>
      </c>
      <c r="O193" s="6">
        <v>20</v>
      </c>
      <c r="P193" s="6">
        <v>2024</v>
      </c>
      <c r="Q193" s="4" t="s">
        <v>349</v>
      </c>
      <c r="R193" s="6">
        <v>2</v>
      </c>
      <c r="S193" s="6">
        <f>MONTH(PQ_cleaned_data[[#This Row],[Order Date]])</f>
        <v>6</v>
      </c>
    </row>
    <row r="194" spans="1:19">
      <c r="A194" s="4" t="s">
        <v>284</v>
      </c>
      <c r="B194" s="5">
        <v>45500</v>
      </c>
      <c r="C194" s="4" t="s">
        <v>90</v>
      </c>
      <c r="D194" s="4" t="s">
        <v>91</v>
      </c>
      <c r="E194" s="4" t="s">
        <v>72</v>
      </c>
      <c r="F194" s="4" t="s">
        <v>82</v>
      </c>
      <c r="G194" s="4" t="s">
        <v>88</v>
      </c>
      <c r="H194" s="6">
        <v>17</v>
      </c>
      <c r="I194" s="7">
        <v>202.84</v>
      </c>
      <c r="J194" s="7">
        <v>3448.28</v>
      </c>
      <c r="K194" s="7">
        <v>93.32</v>
      </c>
      <c r="L194" s="8">
        <v>1586.44</v>
      </c>
      <c r="M194" s="7">
        <v>1861.84</v>
      </c>
      <c r="N194" s="6">
        <v>150</v>
      </c>
      <c r="O194" s="6">
        <v>30</v>
      </c>
      <c r="P194" s="6">
        <v>2024</v>
      </c>
      <c r="Q194" s="4" t="s">
        <v>350</v>
      </c>
      <c r="R194" s="6">
        <v>3</v>
      </c>
      <c r="S194" s="6">
        <f>MONTH(PQ_cleaned_data[[#This Row],[Order Date]])</f>
        <v>7</v>
      </c>
    </row>
    <row r="195" spans="1:19">
      <c r="A195" s="4" t="s">
        <v>285</v>
      </c>
      <c r="B195" s="5">
        <v>45332</v>
      </c>
      <c r="C195" s="4" t="s">
        <v>90</v>
      </c>
      <c r="D195" s="4" t="s">
        <v>91</v>
      </c>
      <c r="E195" s="4" t="s">
        <v>72</v>
      </c>
      <c r="F195" s="4" t="s">
        <v>103</v>
      </c>
      <c r="G195" s="4" t="s">
        <v>92</v>
      </c>
      <c r="H195" s="6">
        <v>8</v>
      </c>
      <c r="I195" s="7">
        <v>221.68</v>
      </c>
      <c r="J195" s="7">
        <v>1773.44</v>
      </c>
      <c r="K195" s="7">
        <v>160.27000000000001</v>
      </c>
      <c r="L195" s="8">
        <v>1282.1600000000001</v>
      </c>
      <c r="M195" s="7">
        <v>491.28</v>
      </c>
      <c r="N195" s="6">
        <v>167</v>
      </c>
      <c r="O195" s="6">
        <v>20</v>
      </c>
      <c r="P195" s="6">
        <v>2024</v>
      </c>
      <c r="Q195" s="4" t="s">
        <v>348</v>
      </c>
      <c r="R195" s="6">
        <v>1</v>
      </c>
      <c r="S195" s="6">
        <f>MONTH(PQ_cleaned_data[[#This Row],[Order Date]])</f>
        <v>2</v>
      </c>
    </row>
    <row r="196" spans="1:19">
      <c r="A196" s="4" t="s">
        <v>286</v>
      </c>
      <c r="B196" s="5">
        <v>45466</v>
      </c>
      <c r="C196" s="4" t="s">
        <v>78</v>
      </c>
      <c r="D196" s="4" t="s">
        <v>79</v>
      </c>
      <c r="E196" s="4" t="s">
        <v>72</v>
      </c>
      <c r="F196" s="4" t="s">
        <v>62</v>
      </c>
      <c r="G196" s="4" t="s">
        <v>74</v>
      </c>
      <c r="H196" s="6">
        <v>5</v>
      </c>
      <c r="I196" s="7">
        <v>88.06</v>
      </c>
      <c r="J196" s="7">
        <v>1182</v>
      </c>
      <c r="K196" s="7">
        <v>47.92</v>
      </c>
      <c r="L196" s="8">
        <v>239.6</v>
      </c>
      <c r="M196" s="7">
        <v>200.7</v>
      </c>
      <c r="N196" s="6">
        <v>110</v>
      </c>
      <c r="O196" s="6">
        <v>20</v>
      </c>
      <c r="P196" s="6">
        <v>2024</v>
      </c>
      <c r="Q196" s="4" t="s">
        <v>349</v>
      </c>
      <c r="R196" s="6">
        <v>2</v>
      </c>
      <c r="S196" s="6">
        <f>MONTH(PQ_cleaned_data[[#This Row],[Order Date]])</f>
        <v>6</v>
      </c>
    </row>
    <row r="197" spans="1:19">
      <c r="A197" s="4" t="s">
        <v>287</v>
      </c>
      <c r="B197" s="5">
        <v>45613</v>
      </c>
      <c r="C197" s="4" t="s">
        <v>78</v>
      </c>
      <c r="D197" s="4" t="s">
        <v>79</v>
      </c>
      <c r="E197" s="4" t="s">
        <v>72</v>
      </c>
      <c r="F197" s="4" t="s">
        <v>62</v>
      </c>
      <c r="G197" s="4" t="s">
        <v>99</v>
      </c>
      <c r="H197" s="6">
        <v>4</v>
      </c>
      <c r="I197" s="7">
        <v>202.16</v>
      </c>
      <c r="J197" s="7">
        <v>808.64</v>
      </c>
      <c r="K197" s="7">
        <v>92.4</v>
      </c>
      <c r="L197" s="8">
        <v>369.6</v>
      </c>
      <c r="M197" s="7">
        <v>439.04</v>
      </c>
      <c r="N197" s="6">
        <v>79</v>
      </c>
      <c r="O197" s="6">
        <v>50</v>
      </c>
      <c r="P197" s="6">
        <v>2024</v>
      </c>
      <c r="Q197" s="4" t="s">
        <v>355</v>
      </c>
      <c r="R197" s="6">
        <v>4</v>
      </c>
      <c r="S197" s="6">
        <f>MONTH(PQ_cleaned_data[[#This Row],[Order Date]])</f>
        <v>11</v>
      </c>
    </row>
    <row r="198" spans="1:19">
      <c r="A198" s="4" t="s">
        <v>288</v>
      </c>
      <c r="B198" s="5">
        <v>45435</v>
      </c>
      <c r="C198" s="4" t="s">
        <v>84</v>
      </c>
      <c r="D198" s="4" t="s">
        <v>85</v>
      </c>
      <c r="E198" s="4" t="s">
        <v>86</v>
      </c>
      <c r="F198" s="4" t="s">
        <v>82</v>
      </c>
      <c r="G198" s="4" t="s">
        <v>99</v>
      </c>
      <c r="H198" s="6">
        <v>12</v>
      </c>
      <c r="I198" s="7">
        <v>26.86</v>
      </c>
      <c r="J198" s="7">
        <v>322.32</v>
      </c>
      <c r="K198" s="7">
        <v>12.67</v>
      </c>
      <c r="L198" s="8">
        <v>152.04</v>
      </c>
      <c r="M198" s="7">
        <v>170.28</v>
      </c>
      <c r="N198" s="6">
        <v>197</v>
      </c>
      <c r="O198" s="6">
        <v>30</v>
      </c>
      <c r="P198" s="6">
        <v>2024</v>
      </c>
      <c r="Q198" s="4" t="s">
        <v>354</v>
      </c>
      <c r="R198" s="6">
        <v>2</v>
      </c>
      <c r="S198" s="6">
        <f>MONTH(PQ_cleaned_data[[#This Row],[Order Date]])</f>
        <v>5</v>
      </c>
    </row>
    <row r="199" spans="1:19">
      <c r="A199" s="4" t="s">
        <v>289</v>
      </c>
      <c r="B199" s="5">
        <v>45355</v>
      </c>
      <c r="C199" s="4" t="s">
        <v>78</v>
      </c>
      <c r="D199" s="4" t="s">
        <v>79</v>
      </c>
      <c r="E199" s="4" t="s">
        <v>72</v>
      </c>
      <c r="F199" s="4" t="s">
        <v>103</v>
      </c>
      <c r="G199" s="4" t="s">
        <v>99</v>
      </c>
      <c r="H199" s="6">
        <v>2</v>
      </c>
      <c r="I199" s="7">
        <v>94.05</v>
      </c>
      <c r="J199" s="7">
        <v>188.1</v>
      </c>
      <c r="K199" s="7">
        <v>48.4</v>
      </c>
      <c r="L199" s="8">
        <v>96.8</v>
      </c>
      <c r="M199" s="7">
        <v>91.3</v>
      </c>
      <c r="N199" s="6">
        <v>104</v>
      </c>
      <c r="O199" s="6">
        <v>50</v>
      </c>
      <c r="P199" s="6">
        <v>2024</v>
      </c>
      <c r="Q199" s="4" t="s">
        <v>351</v>
      </c>
      <c r="R199" s="6">
        <v>1</v>
      </c>
      <c r="S199" s="6">
        <f>MONTH(PQ_cleaned_data[[#This Row],[Order Date]])</f>
        <v>3</v>
      </c>
    </row>
    <row r="200" spans="1:19">
      <c r="A200" s="4" t="s">
        <v>290</v>
      </c>
      <c r="B200" s="5">
        <v>45503</v>
      </c>
      <c r="C200" s="4" t="s">
        <v>78</v>
      </c>
      <c r="D200" s="4" t="s">
        <v>79</v>
      </c>
      <c r="E200" s="4" t="s">
        <v>72</v>
      </c>
      <c r="F200" s="4" t="s">
        <v>62</v>
      </c>
      <c r="G200" s="4" t="s">
        <v>88</v>
      </c>
      <c r="H200" s="6">
        <v>9</v>
      </c>
      <c r="I200" s="7">
        <v>219.97</v>
      </c>
      <c r="J200" s="7">
        <v>1979.73</v>
      </c>
      <c r="K200" s="7">
        <v>175.21</v>
      </c>
      <c r="L200" s="8">
        <v>1576.89</v>
      </c>
      <c r="M200" s="7">
        <v>402.84</v>
      </c>
      <c r="N200" s="6">
        <v>10</v>
      </c>
      <c r="O200" s="6">
        <v>50</v>
      </c>
      <c r="P200" s="6">
        <v>2024</v>
      </c>
      <c r="Q200" s="4" t="s">
        <v>350</v>
      </c>
      <c r="R200" s="6">
        <v>3</v>
      </c>
      <c r="S200" s="6">
        <f>MONTH(PQ_cleaned_data[[#This Row],[Order Date]])</f>
        <v>7</v>
      </c>
    </row>
    <row r="201" spans="1:19">
      <c r="A201" s="4" t="s">
        <v>291</v>
      </c>
      <c r="B201" s="5">
        <v>45345</v>
      </c>
      <c r="C201" s="4" t="s">
        <v>70</v>
      </c>
      <c r="D201" s="4" t="s">
        <v>71</v>
      </c>
      <c r="E201" s="4" t="s">
        <v>72</v>
      </c>
      <c r="F201" s="4" t="s">
        <v>62</v>
      </c>
      <c r="G201" s="4" t="s">
        <v>99</v>
      </c>
      <c r="H201" s="6">
        <v>13</v>
      </c>
      <c r="I201" s="7">
        <v>43.76</v>
      </c>
      <c r="J201" s="7">
        <v>568.88</v>
      </c>
      <c r="K201" s="7">
        <v>24.49</v>
      </c>
      <c r="L201" s="8">
        <v>318.37</v>
      </c>
      <c r="M201" s="7">
        <v>250.51</v>
      </c>
      <c r="N201" s="6">
        <v>18</v>
      </c>
      <c r="O201" s="6">
        <v>20</v>
      </c>
      <c r="P201" s="6">
        <v>2024</v>
      </c>
      <c r="Q201" s="4" t="s">
        <v>348</v>
      </c>
      <c r="R201" s="6">
        <v>1</v>
      </c>
      <c r="S201" s="6">
        <f>MONTH(PQ_cleaned_data[[#This Row],[Order Date]])</f>
        <v>2</v>
      </c>
    </row>
    <row r="202" spans="1:19">
      <c r="A202" s="4" t="s">
        <v>292</v>
      </c>
      <c r="B202" s="5">
        <v>45530</v>
      </c>
      <c r="C202" s="4" t="s">
        <v>90</v>
      </c>
      <c r="D202" s="4" t="s">
        <v>91</v>
      </c>
      <c r="E202" s="4" t="s">
        <v>72</v>
      </c>
      <c r="F202" s="4" t="s">
        <v>119</v>
      </c>
      <c r="G202" s="4" t="s">
        <v>99</v>
      </c>
      <c r="H202" s="6">
        <v>3</v>
      </c>
      <c r="I202" s="7">
        <v>49.17</v>
      </c>
      <c r="J202" s="7">
        <v>147.51</v>
      </c>
      <c r="K202" s="7">
        <v>21.8</v>
      </c>
      <c r="L202" s="8">
        <v>65.400000000000006</v>
      </c>
      <c r="M202" s="7">
        <v>82.11</v>
      </c>
      <c r="N202" s="6">
        <v>101</v>
      </c>
      <c r="O202" s="6">
        <v>30</v>
      </c>
      <c r="P202" s="6">
        <v>2024</v>
      </c>
      <c r="Q202" s="4" t="s">
        <v>346</v>
      </c>
      <c r="R202" s="6">
        <v>3</v>
      </c>
      <c r="S202" s="6">
        <f>MONTH(PQ_cleaned_data[[#This Row],[Order Date]])</f>
        <v>8</v>
      </c>
    </row>
    <row r="203" spans="1:19">
      <c r="A203" s="4" t="s">
        <v>293</v>
      </c>
      <c r="B203" s="5">
        <v>45535</v>
      </c>
      <c r="C203" s="4" t="s">
        <v>90</v>
      </c>
      <c r="D203" s="4" t="s">
        <v>91</v>
      </c>
      <c r="E203" s="4" t="s">
        <v>72</v>
      </c>
      <c r="F203" s="4" t="s">
        <v>119</v>
      </c>
      <c r="G203" s="4" t="s">
        <v>68</v>
      </c>
      <c r="H203" s="6">
        <v>9</v>
      </c>
      <c r="I203" s="7">
        <v>116.37</v>
      </c>
      <c r="J203" s="7">
        <v>1047.33</v>
      </c>
      <c r="K203" s="7">
        <v>71.95</v>
      </c>
      <c r="L203" s="8">
        <v>647.28</v>
      </c>
      <c r="M203" s="7">
        <v>400.05</v>
      </c>
      <c r="N203" s="6">
        <v>120</v>
      </c>
      <c r="O203" s="6">
        <v>20</v>
      </c>
      <c r="P203" s="6">
        <v>2024</v>
      </c>
      <c r="Q203" s="4" t="s">
        <v>346</v>
      </c>
      <c r="R203" s="6">
        <v>3</v>
      </c>
      <c r="S203" s="6">
        <f>MONTH(PQ_cleaned_data[[#This Row],[Order Date]])</f>
        <v>8</v>
      </c>
    </row>
    <row r="204" spans="1:19">
      <c r="A204" s="4" t="s">
        <v>294</v>
      </c>
      <c r="B204" s="5">
        <v>45477</v>
      </c>
      <c r="C204" s="4" t="s">
        <v>96</v>
      </c>
      <c r="D204" s="4" t="s">
        <v>97</v>
      </c>
      <c r="E204" s="4" t="s">
        <v>67</v>
      </c>
      <c r="F204" s="4" t="s">
        <v>62</v>
      </c>
      <c r="G204" s="4" t="s">
        <v>68</v>
      </c>
      <c r="H204" s="6">
        <v>16</v>
      </c>
      <c r="I204" s="7">
        <v>57.29</v>
      </c>
      <c r="J204" s="7">
        <v>916.64</v>
      </c>
      <c r="K204" s="7">
        <v>27.76</v>
      </c>
      <c r="L204" s="8">
        <v>444.16</v>
      </c>
      <c r="M204" s="7">
        <v>472.48</v>
      </c>
      <c r="N204" s="6">
        <v>5</v>
      </c>
      <c r="O204" s="6">
        <v>50</v>
      </c>
      <c r="P204" s="6">
        <v>2024</v>
      </c>
      <c r="Q204" s="4" t="s">
        <v>350</v>
      </c>
      <c r="R204" s="6">
        <v>3</v>
      </c>
      <c r="S204" s="6">
        <f>MONTH(PQ_cleaned_data[[#This Row],[Order Date]])</f>
        <v>7</v>
      </c>
    </row>
    <row r="205" spans="1:19">
      <c r="A205" s="4" t="s">
        <v>295</v>
      </c>
      <c r="B205" s="5">
        <v>45333</v>
      </c>
      <c r="C205" s="4" t="s">
        <v>70</v>
      </c>
      <c r="D205" s="4" t="s">
        <v>71</v>
      </c>
      <c r="E205" s="4" t="s">
        <v>72</v>
      </c>
      <c r="F205" s="4" t="s">
        <v>62</v>
      </c>
      <c r="G205" s="4" t="s">
        <v>63</v>
      </c>
      <c r="H205" s="6">
        <v>15</v>
      </c>
      <c r="I205" s="7">
        <v>218.47</v>
      </c>
      <c r="J205" s="7">
        <v>3277.05</v>
      </c>
      <c r="K205" s="7">
        <v>133.25</v>
      </c>
      <c r="L205" s="8">
        <v>1998.75</v>
      </c>
      <c r="M205" s="7">
        <v>1278.3</v>
      </c>
      <c r="N205" s="6">
        <v>171</v>
      </c>
      <c r="O205" s="6">
        <v>30</v>
      </c>
      <c r="P205" s="6">
        <v>2024</v>
      </c>
      <c r="Q205" s="4" t="s">
        <v>348</v>
      </c>
      <c r="R205" s="6">
        <v>1</v>
      </c>
      <c r="S205" s="6">
        <f>MONTH(PQ_cleaned_data[[#This Row],[Order Date]])</f>
        <v>2</v>
      </c>
    </row>
    <row r="206" spans="1:19">
      <c r="A206" s="4" t="s">
        <v>296</v>
      </c>
      <c r="B206" s="5">
        <v>45376</v>
      </c>
      <c r="C206" s="4" t="s">
        <v>59</v>
      </c>
      <c r="D206" s="4" t="s">
        <v>60</v>
      </c>
      <c r="E206" s="4" t="s">
        <v>61</v>
      </c>
      <c r="F206" s="4" t="s">
        <v>103</v>
      </c>
      <c r="G206" s="4" t="s">
        <v>88</v>
      </c>
      <c r="H206" s="6">
        <v>12</v>
      </c>
      <c r="I206" s="7">
        <v>235.78</v>
      </c>
      <c r="J206" s="7">
        <v>2829.36</v>
      </c>
      <c r="K206" s="7">
        <v>139.74</v>
      </c>
      <c r="L206" s="8">
        <v>1676.88</v>
      </c>
      <c r="M206" s="7">
        <v>1152.48</v>
      </c>
      <c r="N206" s="6">
        <v>137</v>
      </c>
      <c r="O206" s="6">
        <v>50</v>
      </c>
      <c r="P206" s="6">
        <v>2024</v>
      </c>
      <c r="Q206" s="4" t="s">
        <v>351</v>
      </c>
      <c r="R206" s="6">
        <v>1</v>
      </c>
      <c r="S206" s="6">
        <f>MONTH(PQ_cleaned_data[[#This Row],[Order Date]])</f>
        <v>3</v>
      </c>
    </row>
    <row r="207" spans="1:19">
      <c r="A207" s="4" t="s">
        <v>297</v>
      </c>
      <c r="B207" s="5">
        <v>45579</v>
      </c>
      <c r="C207" s="4" t="s">
        <v>59</v>
      </c>
      <c r="D207" s="4" t="s">
        <v>60</v>
      </c>
      <c r="E207" s="4" t="s">
        <v>61</v>
      </c>
      <c r="F207" s="4" t="s">
        <v>76</v>
      </c>
      <c r="G207" s="4" t="s">
        <v>63</v>
      </c>
      <c r="H207" s="6">
        <v>3</v>
      </c>
      <c r="I207" s="7">
        <v>182.07</v>
      </c>
      <c r="J207" s="7">
        <v>546.21</v>
      </c>
      <c r="K207" s="7">
        <v>114.96</v>
      </c>
      <c r="L207" s="8">
        <v>344.88</v>
      </c>
      <c r="M207" s="7">
        <v>201.33</v>
      </c>
      <c r="N207" s="6">
        <v>37</v>
      </c>
      <c r="O207" s="6">
        <v>30</v>
      </c>
      <c r="P207" s="6">
        <v>2024</v>
      </c>
      <c r="Q207" s="4" t="s">
        <v>345</v>
      </c>
      <c r="R207" s="6">
        <v>4</v>
      </c>
      <c r="S207" s="6">
        <f>MONTH(PQ_cleaned_data[[#This Row],[Order Date]])</f>
        <v>10</v>
      </c>
    </row>
    <row r="208" spans="1:19">
      <c r="A208" s="4" t="s">
        <v>298</v>
      </c>
      <c r="B208" s="5">
        <v>45350</v>
      </c>
      <c r="C208" s="4" t="s">
        <v>96</v>
      </c>
      <c r="D208" s="4" t="s">
        <v>97</v>
      </c>
      <c r="E208" s="4" t="s">
        <v>67</v>
      </c>
      <c r="F208" s="4" t="s">
        <v>82</v>
      </c>
      <c r="G208" s="4" t="s">
        <v>88</v>
      </c>
      <c r="H208" s="6">
        <v>9</v>
      </c>
      <c r="I208" s="7">
        <v>132.57</v>
      </c>
      <c r="J208" s="7">
        <v>1193.1300000000001</v>
      </c>
      <c r="K208" s="7">
        <v>53.22</v>
      </c>
      <c r="L208" s="8">
        <v>478.98</v>
      </c>
      <c r="M208" s="7">
        <v>714.15</v>
      </c>
      <c r="N208" s="6">
        <v>115</v>
      </c>
      <c r="O208" s="6">
        <v>20</v>
      </c>
      <c r="P208" s="6">
        <v>2024</v>
      </c>
      <c r="Q208" s="4" t="s">
        <v>348</v>
      </c>
      <c r="R208" s="6">
        <v>1</v>
      </c>
      <c r="S208" s="6">
        <f>MONTH(PQ_cleaned_data[[#This Row],[Order Date]])</f>
        <v>2</v>
      </c>
    </row>
    <row r="209" spans="1:19">
      <c r="A209" s="4" t="s">
        <v>299</v>
      </c>
      <c r="B209" s="5">
        <v>45507</v>
      </c>
      <c r="C209" s="4" t="s">
        <v>111</v>
      </c>
      <c r="D209" s="4" t="s">
        <v>112</v>
      </c>
      <c r="E209" s="4" t="s">
        <v>67</v>
      </c>
      <c r="F209" s="4" t="s">
        <v>62</v>
      </c>
      <c r="G209" s="4" t="s">
        <v>88</v>
      </c>
      <c r="H209" s="6">
        <v>20</v>
      </c>
      <c r="I209" s="7">
        <v>97.5</v>
      </c>
      <c r="J209" s="7">
        <v>1950</v>
      </c>
      <c r="K209" s="7">
        <v>52.58</v>
      </c>
      <c r="L209" s="8">
        <v>1051.5999999999999</v>
      </c>
      <c r="M209" s="7">
        <v>898.4</v>
      </c>
      <c r="N209" s="6">
        <v>48</v>
      </c>
      <c r="O209" s="6">
        <v>50</v>
      </c>
      <c r="P209" s="6">
        <v>2024</v>
      </c>
      <c r="Q209" s="4" t="s">
        <v>346</v>
      </c>
      <c r="R209" s="6">
        <v>3</v>
      </c>
      <c r="S209" s="6">
        <f>MONTH(PQ_cleaned_data[[#This Row],[Order Date]])</f>
        <v>8</v>
      </c>
    </row>
    <row r="210" spans="1:19">
      <c r="A210" s="4" t="s">
        <v>300</v>
      </c>
      <c r="B210" s="5">
        <v>45355</v>
      </c>
      <c r="C210" s="4" t="s">
        <v>78</v>
      </c>
      <c r="D210" s="4" t="s">
        <v>79</v>
      </c>
      <c r="E210" s="4" t="s">
        <v>72</v>
      </c>
      <c r="F210" s="4" t="s">
        <v>76</v>
      </c>
      <c r="G210" s="4" t="s">
        <v>63</v>
      </c>
      <c r="H210" s="6">
        <v>15</v>
      </c>
      <c r="I210" s="7">
        <v>106.44</v>
      </c>
      <c r="J210" s="7">
        <v>1596.6</v>
      </c>
      <c r="K210" s="7">
        <v>57.55</v>
      </c>
      <c r="L210" s="8">
        <v>863.25</v>
      </c>
      <c r="M210" s="7">
        <v>733.35</v>
      </c>
      <c r="N210" s="6">
        <v>138</v>
      </c>
      <c r="O210" s="6">
        <v>30</v>
      </c>
      <c r="P210" s="6">
        <v>2024</v>
      </c>
      <c r="Q210" s="4" t="s">
        <v>351</v>
      </c>
      <c r="R210" s="6">
        <v>1</v>
      </c>
      <c r="S210" s="6">
        <f>MONTH(PQ_cleaned_data[[#This Row],[Order Date]])</f>
        <v>3</v>
      </c>
    </row>
    <row r="211" spans="1:19">
      <c r="A211" s="4" t="s">
        <v>301</v>
      </c>
      <c r="B211" s="5">
        <v>45375</v>
      </c>
      <c r="C211" s="4" t="s">
        <v>96</v>
      </c>
      <c r="D211" s="4" t="s">
        <v>97</v>
      </c>
      <c r="E211" s="4" t="s">
        <v>67</v>
      </c>
      <c r="F211" s="4" t="s">
        <v>82</v>
      </c>
      <c r="G211" s="4" t="s">
        <v>88</v>
      </c>
      <c r="H211" s="6">
        <v>13</v>
      </c>
      <c r="I211" s="7">
        <v>74.83</v>
      </c>
      <c r="J211" s="7">
        <v>972.79</v>
      </c>
      <c r="K211" s="7">
        <v>49.68</v>
      </c>
      <c r="L211" s="8">
        <v>645.84</v>
      </c>
      <c r="M211" s="7">
        <v>326.95</v>
      </c>
      <c r="N211" s="6">
        <v>174</v>
      </c>
      <c r="O211" s="6">
        <v>30</v>
      </c>
      <c r="P211" s="6">
        <v>2024</v>
      </c>
      <c r="Q211" s="4" t="s">
        <v>351</v>
      </c>
      <c r="R211" s="6">
        <v>1</v>
      </c>
      <c r="S211" s="6">
        <f>MONTH(PQ_cleaned_data[[#This Row],[Order Date]])</f>
        <v>3</v>
      </c>
    </row>
    <row r="212" spans="1:19">
      <c r="A212" s="4" t="s">
        <v>302</v>
      </c>
      <c r="B212" s="5">
        <v>45345</v>
      </c>
      <c r="C212" s="4" t="s">
        <v>90</v>
      </c>
      <c r="D212" s="4" t="s">
        <v>91</v>
      </c>
      <c r="E212" s="4" t="s">
        <v>72</v>
      </c>
      <c r="F212" s="4" t="s">
        <v>106</v>
      </c>
      <c r="G212" s="4" t="s">
        <v>88</v>
      </c>
      <c r="H212" s="6">
        <v>1</v>
      </c>
      <c r="I212" s="7">
        <v>155.97999999999999</v>
      </c>
      <c r="J212" s="7">
        <v>1182</v>
      </c>
      <c r="K212" s="7">
        <v>88.05</v>
      </c>
      <c r="L212" s="8">
        <v>88.05</v>
      </c>
      <c r="M212" s="7">
        <v>67.930000000000007</v>
      </c>
      <c r="N212" s="6">
        <v>127</v>
      </c>
      <c r="O212" s="6">
        <v>50</v>
      </c>
      <c r="P212" s="6">
        <v>2024</v>
      </c>
      <c r="Q212" s="4" t="s">
        <v>348</v>
      </c>
      <c r="R212" s="6">
        <v>1</v>
      </c>
      <c r="S212" s="6">
        <f>MONTH(PQ_cleaned_data[[#This Row],[Order Date]])</f>
        <v>2</v>
      </c>
    </row>
    <row r="213" spans="1:19">
      <c r="A213" s="4" t="s">
        <v>303</v>
      </c>
      <c r="B213" s="5">
        <v>45507</v>
      </c>
      <c r="C213" s="4" t="s">
        <v>59</v>
      </c>
      <c r="D213" s="4" t="s">
        <v>60</v>
      </c>
      <c r="E213" s="4" t="s">
        <v>61</v>
      </c>
      <c r="F213" s="4" t="s">
        <v>82</v>
      </c>
      <c r="G213" s="4" t="s">
        <v>63</v>
      </c>
      <c r="H213" s="6">
        <v>8</v>
      </c>
      <c r="I213" s="7">
        <v>195.34</v>
      </c>
      <c r="J213" s="7">
        <v>1562.72</v>
      </c>
      <c r="K213" s="7">
        <v>121.23</v>
      </c>
      <c r="L213" s="8">
        <v>969.84</v>
      </c>
      <c r="M213" s="7">
        <v>592.88</v>
      </c>
      <c r="N213" s="6">
        <v>29</v>
      </c>
      <c r="O213" s="6">
        <v>20</v>
      </c>
      <c r="P213" s="6">
        <v>2024</v>
      </c>
      <c r="Q213" s="4" t="s">
        <v>346</v>
      </c>
      <c r="R213" s="6">
        <v>3</v>
      </c>
      <c r="S213" s="6">
        <f>MONTH(PQ_cleaned_data[[#This Row],[Order Date]])</f>
        <v>8</v>
      </c>
    </row>
    <row r="214" spans="1:19">
      <c r="A214" s="4" t="s">
        <v>304</v>
      </c>
      <c r="B214" s="5">
        <v>45622</v>
      </c>
      <c r="C214" s="4" t="s">
        <v>96</v>
      </c>
      <c r="D214" s="4" t="s">
        <v>97</v>
      </c>
      <c r="E214" s="4" t="s">
        <v>67</v>
      </c>
      <c r="F214" s="4" t="s">
        <v>82</v>
      </c>
      <c r="G214" s="4" t="s">
        <v>88</v>
      </c>
      <c r="H214" s="6">
        <v>1</v>
      </c>
      <c r="I214" s="7">
        <v>235.21</v>
      </c>
      <c r="J214" s="7">
        <v>235.21</v>
      </c>
      <c r="K214" s="7">
        <v>167.68</v>
      </c>
      <c r="L214" s="8">
        <v>167.68</v>
      </c>
      <c r="M214" s="7">
        <v>67.53</v>
      </c>
      <c r="N214" s="6">
        <v>129</v>
      </c>
      <c r="O214" s="6">
        <v>30</v>
      </c>
      <c r="P214" s="6">
        <v>2024</v>
      </c>
      <c r="Q214" s="4" t="s">
        <v>355</v>
      </c>
      <c r="R214" s="6">
        <v>4</v>
      </c>
      <c r="S214" s="6">
        <f>MONTH(PQ_cleaned_data[[#This Row],[Order Date]])</f>
        <v>11</v>
      </c>
    </row>
    <row r="215" spans="1:19">
      <c r="A215" s="4" t="s">
        <v>305</v>
      </c>
      <c r="B215" s="5">
        <v>45415</v>
      </c>
      <c r="C215" s="4" t="s">
        <v>65</v>
      </c>
      <c r="D215" s="4" t="s">
        <v>66</v>
      </c>
      <c r="E215" s="4" t="s">
        <v>67</v>
      </c>
      <c r="F215" s="4" t="s">
        <v>76</v>
      </c>
      <c r="G215" s="4" t="s">
        <v>68</v>
      </c>
      <c r="H215" s="6">
        <v>14</v>
      </c>
      <c r="I215" s="7">
        <v>13.01</v>
      </c>
      <c r="J215" s="7">
        <v>182.14</v>
      </c>
      <c r="K215" s="7">
        <v>5.34</v>
      </c>
      <c r="L215" s="8">
        <v>74.760000000000005</v>
      </c>
      <c r="M215" s="7">
        <v>107.38</v>
      </c>
      <c r="N215" s="6">
        <v>95</v>
      </c>
      <c r="O215" s="6">
        <v>50</v>
      </c>
      <c r="P215" s="6">
        <v>2024</v>
      </c>
      <c r="Q215" s="4" t="s">
        <v>354</v>
      </c>
      <c r="R215" s="6">
        <v>2</v>
      </c>
      <c r="S215" s="6">
        <f>MONTH(PQ_cleaned_data[[#This Row],[Order Date]])</f>
        <v>5</v>
      </c>
    </row>
    <row r="216" spans="1:19">
      <c r="A216" s="4" t="s">
        <v>306</v>
      </c>
      <c r="B216" s="5">
        <v>45492</v>
      </c>
      <c r="C216" s="4" t="s">
        <v>59</v>
      </c>
      <c r="D216" s="4" t="s">
        <v>60</v>
      </c>
      <c r="E216" s="4" t="s">
        <v>61</v>
      </c>
      <c r="F216" s="4" t="s">
        <v>103</v>
      </c>
      <c r="G216" s="4" t="s">
        <v>88</v>
      </c>
      <c r="H216" s="6">
        <v>20</v>
      </c>
      <c r="I216" s="7">
        <v>162.88999999999999</v>
      </c>
      <c r="J216" s="7">
        <v>3257.8</v>
      </c>
      <c r="K216" s="7">
        <v>119.14</v>
      </c>
      <c r="L216" s="8">
        <v>2382.8000000000002</v>
      </c>
      <c r="M216" s="7">
        <v>875</v>
      </c>
      <c r="N216" s="6">
        <v>147</v>
      </c>
      <c r="O216" s="6">
        <v>30</v>
      </c>
      <c r="P216" s="6">
        <v>2024</v>
      </c>
      <c r="Q216" s="4" t="s">
        <v>350</v>
      </c>
      <c r="R216" s="6">
        <v>3</v>
      </c>
      <c r="S216" s="6">
        <f>MONTH(PQ_cleaned_data[[#This Row],[Order Date]])</f>
        <v>7</v>
      </c>
    </row>
    <row r="217" spans="1:19">
      <c r="A217" s="4" t="s">
        <v>307</v>
      </c>
      <c r="B217" s="5">
        <v>45373</v>
      </c>
      <c r="C217" s="4" t="s">
        <v>96</v>
      </c>
      <c r="D217" s="4" t="s">
        <v>97</v>
      </c>
      <c r="E217" s="4" t="s">
        <v>67</v>
      </c>
      <c r="F217" s="4" t="s">
        <v>62</v>
      </c>
      <c r="G217" s="4" t="s">
        <v>88</v>
      </c>
      <c r="H217" s="6">
        <v>8</v>
      </c>
      <c r="I217" s="7">
        <v>29.4</v>
      </c>
      <c r="J217" s="7">
        <v>235.2</v>
      </c>
      <c r="K217" s="7">
        <v>21.18</v>
      </c>
      <c r="L217" s="8">
        <v>169.44</v>
      </c>
      <c r="M217" s="7">
        <v>65.760000000000005</v>
      </c>
      <c r="N217" s="6">
        <v>129</v>
      </c>
      <c r="O217" s="6">
        <v>20</v>
      </c>
      <c r="P217" s="6">
        <v>2024</v>
      </c>
      <c r="Q217" s="4" t="s">
        <v>351</v>
      </c>
      <c r="R217" s="6">
        <v>1</v>
      </c>
      <c r="S217" s="6">
        <f>MONTH(PQ_cleaned_data[[#This Row],[Order Date]])</f>
        <v>3</v>
      </c>
    </row>
    <row r="218" spans="1:19">
      <c r="A218" s="4" t="s">
        <v>308</v>
      </c>
      <c r="B218" s="5">
        <v>45339</v>
      </c>
      <c r="C218" s="4" t="s">
        <v>90</v>
      </c>
      <c r="D218" s="4" t="s">
        <v>91</v>
      </c>
      <c r="E218" s="4" t="s">
        <v>72</v>
      </c>
      <c r="F218" s="4" t="s">
        <v>62</v>
      </c>
      <c r="G218" s="4" t="s">
        <v>92</v>
      </c>
      <c r="H218" s="6">
        <v>1</v>
      </c>
      <c r="I218" s="7">
        <v>112.17</v>
      </c>
      <c r="J218" s="7">
        <v>1182</v>
      </c>
      <c r="K218" s="7">
        <v>73.09</v>
      </c>
      <c r="L218" s="8">
        <v>73.09</v>
      </c>
      <c r="M218" s="7">
        <v>39.08</v>
      </c>
      <c r="N218" s="6">
        <v>151</v>
      </c>
      <c r="O218" s="6">
        <v>20</v>
      </c>
      <c r="P218" s="6">
        <v>2024</v>
      </c>
      <c r="Q218" s="4" t="s">
        <v>348</v>
      </c>
      <c r="R218" s="6">
        <v>1</v>
      </c>
      <c r="S218" s="6">
        <f>MONTH(PQ_cleaned_data[[#This Row],[Order Date]])</f>
        <v>2</v>
      </c>
    </row>
    <row r="219" spans="1:19">
      <c r="A219" s="4" t="s">
        <v>309</v>
      </c>
      <c r="B219" s="5">
        <v>45358</v>
      </c>
      <c r="C219" s="4" t="s">
        <v>78</v>
      </c>
      <c r="D219" s="4" t="s">
        <v>79</v>
      </c>
      <c r="E219" s="4" t="s">
        <v>72</v>
      </c>
      <c r="F219" s="4" t="s">
        <v>119</v>
      </c>
      <c r="G219" s="4" t="s">
        <v>92</v>
      </c>
      <c r="H219" s="6">
        <v>12</v>
      </c>
      <c r="I219" s="7">
        <v>50.71</v>
      </c>
      <c r="J219" s="7">
        <v>608.52</v>
      </c>
      <c r="K219" s="7">
        <v>33.520000000000003</v>
      </c>
      <c r="L219" s="8">
        <v>402.24</v>
      </c>
      <c r="M219" s="7">
        <v>206.28</v>
      </c>
      <c r="N219" s="6">
        <v>56</v>
      </c>
      <c r="O219" s="6">
        <v>30</v>
      </c>
      <c r="P219" s="6">
        <v>2024</v>
      </c>
      <c r="Q219" s="4" t="s">
        <v>351</v>
      </c>
      <c r="R219" s="6">
        <v>1</v>
      </c>
      <c r="S219" s="6">
        <f>MONTH(PQ_cleaned_data[[#This Row],[Order Date]])</f>
        <v>3</v>
      </c>
    </row>
    <row r="220" spans="1:19">
      <c r="A220" s="4" t="s">
        <v>310</v>
      </c>
      <c r="B220" s="5">
        <v>45425</v>
      </c>
      <c r="C220" s="4" t="s">
        <v>65</v>
      </c>
      <c r="D220" s="4" t="s">
        <v>66</v>
      </c>
      <c r="E220" s="4" t="s">
        <v>67</v>
      </c>
      <c r="F220" s="4" t="s">
        <v>106</v>
      </c>
      <c r="G220" s="4" t="s">
        <v>63</v>
      </c>
      <c r="H220" s="6">
        <v>9</v>
      </c>
      <c r="I220" s="7">
        <v>25.33</v>
      </c>
      <c r="J220" s="7">
        <v>227.97</v>
      </c>
      <c r="K220" s="7">
        <v>11.59</v>
      </c>
      <c r="L220" s="8">
        <v>104.31</v>
      </c>
      <c r="M220" s="7">
        <v>123.66</v>
      </c>
      <c r="N220" s="6">
        <v>5</v>
      </c>
      <c r="O220" s="6">
        <v>50</v>
      </c>
      <c r="P220" s="6">
        <v>2024</v>
      </c>
      <c r="Q220" s="4" t="s">
        <v>354</v>
      </c>
      <c r="R220" s="6">
        <v>2</v>
      </c>
      <c r="S220" s="6">
        <f>MONTH(PQ_cleaned_data[[#This Row],[Order Date]])</f>
        <v>5</v>
      </c>
    </row>
    <row r="221" spans="1:19">
      <c r="A221" s="4" t="s">
        <v>311</v>
      </c>
      <c r="B221" s="5">
        <v>45384</v>
      </c>
      <c r="C221" s="4" t="s">
        <v>90</v>
      </c>
      <c r="D221" s="4" t="s">
        <v>91</v>
      </c>
      <c r="E221" s="4" t="s">
        <v>72</v>
      </c>
      <c r="F221" s="4" t="s">
        <v>106</v>
      </c>
      <c r="G221" s="4" t="s">
        <v>99</v>
      </c>
      <c r="H221" s="6">
        <v>3</v>
      </c>
      <c r="I221" s="7">
        <v>126.09</v>
      </c>
      <c r="J221" s="7">
        <v>378.27</v>
      </c>
      <c r="K221" s="7">
        <v>68.66</v>
      </c>
      <c r="L221" s="8">
        <v>205.98</v>
      </c>
      <c r="M221" s="7">
        <v>172.29</v>
      </c>
      <c r="N221" s="6">
        <v>53</v>
      </c>
      <c r="O221" s="6">
        <v>30</v>
      </c>
      <c r="P221" s="6">
        <v>2024</v>
      </c>
      <c r="Q221" s="4" t="s">
        <v>353</v>
      </c>
      <c r="R221" s="6">
        <v>2</v>
      </c>
      <c r="S221" s="6">
        <f>MONTH(PQ_cleaned_data[[#This Row],[Order Date]])</f>
        <v>4</v>
      </c>
    </row>
    <row r="222" spans="1:19">
      <c r="A222" s="4" t="s">
        <v>312</v>
      </c>
      <c r="B222" s="5">
        <v>45399</v>
      </c>
      <c r="C222" s="4" t="s">
        <v>96</v>
      </c>
      <c r="D222" s="4" t="s">
        <v>97</v>
      </c>
      <c r="E222" s="4" t="s">
        <v>67</v>
      </c>
      <c r="F222" s="4" t="s">
        <v>62</v>
      </c>
      <c r="G222" s="4" t="s">
        <v>68</v>
      </c>
      <c r="H222" s="6">
        <v>13</v>
      </c>
      <c r="I222" s="7">
        <v>222.98</v>
      </c>
      <c r="J222" s="7">
        <v>2898.74</v>
      </c>
      <c r="K222" s="7">
        <v>145.69999999999999</v>
      </c>
      <c r="L222" s="8">
        <v>1894.1</v>
      </c>
      <c r="M222" s="7">
        <v>1004.64</v>
      </c>
      <c r="N222" s="6">
        <v>115</v>
      </c>
      <c r="O222" s="6">
        <v>20</v>
      </c>
      <c r="P222" s="6">
        <v>2024</v>
      </c>
      <c r="Q222" s="4" t="s">
        <v>353</v>
      </c>
      <c r="R222" s="6">
        <v>2</v>
      </c>
      <c r="S222" s="6">
        <f>MONTH(PQ_cleaned_data[[#This Row],[Order Date]])</f>
        <v>4</v>
      </c>
    </row>
    <row r="223" spans="1:19">
      <c r="A223" s="4" t="s">
        <v>313</v>
      </c>
      <c r="B223" s="5">
        <v>45308</v>
      </c>
      <c r="C223" s="4" t="s">
        <v>90</v>
      </c>
      <c r="D223" s="4" t="s">
        <v>91</v>
      </c>
      <c r="E223" s="4" t="s">
        <v>72</v>
      </c>
      <c r="F223" s="4" t="s">
        <v>62</v>
      </c>
      <c r="G223" s="4" t="s">
        <v>74</v>
      </c>
      <c r="H223" s="6">
        <v>11</v>
      </c>
      <c r="I223" s="7">
        <v>248.47</v>
      </c>
      <c r="J223" s="7">
        <v>2733.17</v>
      </c>
      <c r="K223" s="7">
        <v>147.47999999999999</v>
      </c>
      <c r="L223" s="8">
        <v>1622.28</v>
      </c>
      <c r="M223" s="7">
        <v>1110.8900000000001</v>
      </c>
      <c r="N223" s="6">
        <v>157</v>
      </c>
      <c r="O223" s="6">
        <v>50</v>
      </c>
      <c r="P223" s="6">
        <v>2024</v>
      </c>
      <c r="Q223" s="4" t="s">
        <v>352</v>
      </c>
      <c r="R223" s="6">
        <v>1</v>
      </c>
      <c r="S223" s="6">
        <f>MONTH(PQ_cleaned_data[[#This Row],[Order Date]])</f>
        <v>1</v>
      </c>
    </row>
    <row r="224" spans="1:19">
      <c r="A224" s="4" t="s">
        <v>314</v>
      </c>
      <c r="B224" s="5">
        <v>45566</v>
      </c>
      <c r="C224" s="4" t="s">
        <v>65</v>
      </c>
      <c r="D224" s="4" t="s">
        <v>66</v>
      </c>
      <c r="E224" s="4" t="s">
        <v>67</v>
      </c>
      <c r="F224" s="4" t="s">
        <v>119</v>
      </c>
      <c r="G224" s="4" t="s">
        <v>63</v>
      </c>
      <c r="H224" s="6">
        <v>17</v>
      </c>
      <c r="I224" s="7">
        <v>130.38</v>
      </c>
      <c r="J224" s="7">
        <v>2216.46</v>
      </c>
      <c r="K224" s="7">
        <v>60.1</v>
      </c>
      <c r="L224" s="8">
        <v>1021.7</v>
      </c>
      <c r="M224" s="7">
        <v>1194.76</v>
      </c>
      <c r="N224" s="6">
        <v>93</v>
      </c>
      <c r="O224" s="6">
        <v>20</v>
      </c>
      <c r="P224" s="6">
        <v>2024</v>
      </c>
      <c r="Q224" s="4" t="s">
        <v>345</v>
      </c>
      <c r="R224" s="6">
        <v>4</v>
      </c>
      <c r="S224" s="6">
        <f>MONTH(PQ_cleaned_data[[#This Row],[Order Date]])</f>
        <v>10</v>
      </c>
    </row>
    <row r="225" spans="1:19">
      <c r="A225" s="4" t="s">
        <v>315</v>
      </c>
      <c r="B225" s="5">
        <v>45429</v>
      </c>
      <c r="C225" s="4" t="s">
        <v>70</v>
      </c>
      <c r="D225" s="4" t="s">
        <v>71</v>
      </c>
      <c r="E225" s="4" t="s">
        <v>72</v>
      </c>
      <c r="F225" s="4" t="s">
        <v>82</v>
      </c>
      <c r="G225" s="4" t="s">
        <v>99</v>
      </c>
      <c r="H225" s="6">
        <v>16</v>
      </c>
      <c r="I225" s="7">
        <v>53.81</v>
      </c>
      <c r="J225" s="7">
        <v>860.96</v>
      </c>
      <c r="K225" s="7">
        <v>23.5</v>
      </c>
      <c r="L225" s="8">
        <v>376</v>
      </c>
      <c r="M225" s="7">
        <v>484.96</v>
      </c>
      <c r="N225" s="6">
        <v>181</v>
      </c>
      <c r="O225" s="6">
        <v>50</v>
      </c>
      <c r="P225" s="6">
        <v>2024</v>
      </c>
      <c r="Q225" s="4" t="s">
        <v>354</v>
      </c>
      <c r="R225" s="6">
        <v>2</v>
      </c>
      <c r="S225" s="6">
        <f>MONTH(PQ_cleaned_data[[#This Row],[Order Date]])</f>
        <v>5</v>
      </c>
    </row>
    <row r="226" spans="1:19">
      <c r="A226" s="4" t="s">
        <v>316</v>
      </c>
      <c r="B226" s="5">
        <v>45390</v>
      </c>
      <c r="C226" s="4" t="s">
        <v>70</v>
      </c>
      <c r="D226" s="4" t="s">
        <v>71</v>
      </c>
      <c r="E226" s="4" t="s">
        <v>72</v>
      </c>
      <c r="F226" s="4" t="s">
        <v>62</v>
      </c>
      <c r="G226" s="4" t="s">
        <v>63</v>
      </c>
      <c r="H226" s="6">
        <v>6</v>
      </c>
      <c r="I226" s="7">
        <v>53.48</v>
      </c>
      <c r="J226" s="7">
        <v>320.88</v>
      </c>
      <c r="K226" s="7">
        <v>39.49</v>
      </c>
      <c r="L226" s="8">
        <v>236.94</v>
      </c>
      <c r="M226" s="7">
        <v>83.94</v>
      </c>
      <c r="N226" s="6">
        <v>183</v>
      </c>
      <c r="O226" s="6">
        <v>30</v>
      </c>
      <c r="P226" s="6">
        <v>2024</v>
      </c>
      <c r="Q226" s="4" t="s">
        <v>353</v>
      </c>
      <c r="R226" s="6">
        <v>2</v>
      </c>
      <c r="S226" s="6">
        <f>MONTH(PQ_cleaned_data[[#This Row],[Order Date]])</f>
        <v>4</v>
      </c>
    </row>
    <row r="227" spans="1:19">
      <c r="A227" s="4" t="s">
        <v>317</v>
      </c>
      <c r="B227" s="5">
        <v>45541</v>
      </c>
      <c r="C227" s="4" t="s">
        <v>96</v>
      </c>
      <c r="D227" s="4" t="s">
        <v>97</v>
      </c>
      <c r="E227" s="4" t="s">
        <v>67</v>
      </c>
      <c r="F227" s="4" t="s">
        <v>106</v>
      </c>
      <c r="G227" s="4" t="s">
        <v>92</v>
      </c>
      <c r="H227" s="6">
        <v>15</v>
      </c>
      <c r="I227" s="7">
        <v>108.82</v>
      </c>
      <c r="J227" s="7">
        <v>1632.3</v>
      </c>
      <c r="K227" s="7">
        <v>76.05</v>
      </c>
      <c r="L227" s="8">
        <v>1140.75</v>
      </c>
      <c r="M227" s="7">
        <v>491.55</v>
      </c>
      <c r="N227" s="6">
        <v>81</v>
      </c>
      <c r="O227" s="6">
        <v>50</v>
      </c>
      <c r="P227" s="6">
        <v>2024</v>
      </c>
      <c r="Q227" s="4" t="s">
        <v>347</v>
      </c>
      <c r="R227" s="6">
        <v>3</v>
      </c>
      <c r="S227" s="6">
        <f>MONTH(PQ_cleaned_data[[#This Row],[Order Date]])</f>
        <v>9</v>
      </c>
    </row>
    <row r="228" spans="1:19">
      <c r="A228" s="4" t="s">
        <v>318</v>
      </c>
      <c r="B228" s="5">
        <v>45324</v>
      </c>
      <c r="C228" s="4" t="s">
        <v>78</v>
      </c>
      <c r="D228" s="4" t="s">
        <v>79</v>
      </c>
      <c r="E228" s="4" t="s">
        <v>72</v>
      </c>
      <c r="F228" s="4" t="s">
        <v>62</v>
      </c>
      <c r="G228" s="4" t="s">
        <v>68</v>
      </c>
      <c r="H228" s="6">
        <v>6</v>
      </c>
      <c r="I228" s="7">
        <v>222.92</v>
      </c>
      <c r="J228" s="7">
        <v>1337.52</v>
      </c>
      <c r="K228" s="7">
        <v>174.6</v>
      </c>
      <c r="L228" s="8">
        <v>1047.5999999999999</v>
      </c>
      <c r="M228" s="7">
        <v>289.92</v>
      </c>
      <c r="N228" s="6">
        <v>64</v>
      </c>
      <c r="O228" s="6">
        <v>50</v>
      </c>
      <c r="P228" s="6">
        <v>2024</v>
      </c>
      <c r="Q228" s="4" t="s">
        <v>348</v>
      </c>
      <c r="R228" s="6">
        <v>1</v>
      </c>
      <c r="S228" s="6">
        <f>MONTH(PQ_cleaned_data[[#This Row],[Order Date]])</f>
        <v>2</v>
      </c>
    </row>
    <row r="229" spans="1:19">
      <c r="A229" s="4" t="s">
        <v>319</v>
      </c>
      <c r="B229" s="5">
        <v>45495</v>
      </c>
      <c r="C229" s="4" t="s">
        <v>65</v>
      </c>
      <c r="D229" s="4" t="s">
        <v>66</v>
      </c>
      <c r="E229" s="4" t="s">
        <v>67</v>
      </c>
      <c r="F229" s="4" t="s">
        <v>119</v>
      </c>
      <c r="G229" s="4" t="s">
        <v>63</v>
      </c>
      <c r="H229" s="6">
        <v>4</v>
      </c>
      <c r="I229" s="7">
        <v>49.08</v>
      </c>
      <c r="J229" s="7">
        <v>196.32</v>
      </c>
      <c r="K229" s="7">
        <v>25.97</v>
      </c>
      <c r="L229" s="8">
        <v>103.88</v>
      </c>
      <c r="M229" s="7">
        <v>92.44</v>
      </c>
      <c r="N229" s="6">
        <v>47</v>
      </c>
      <c r="O229" s="6">
        <v>30</v>
      </c>
      <c r="P229" s="6">
        <v>2024</v>
      </c>
      <c r="Q229" s="4" t="s">
        <v>350</v>
      </c>
      <c r="R229" s="6">
        <v>3</v>
      </c>
      <c r="S229" s="6">
        <f>MONTH(PQ_cleaned_data[[#This Row],[Order Date]])</f>
        <v>7</v>
      </c>
    </row>
    <row r="230" spans="1:19">
      <c r="A230" s="4" t="s">
        <v>320</v>
      </c>
      <c r="B230" s="5">
        <v>45296</v>
      </c>
      <c r="C230" s="4" t="s">
        <v>84</v>
      </c>
      <c r="D230" s="4" t="s">
        <v>85</v>
      </c>
      <c r="E230" s="4" t="s">
        <v>86</v>
      </c>
      <c r="F230" s="4" t="s">
        <v>62</v>
      </c>
      <c r="G230" s="4" t="s">
        <v>92</v>
      </c>
      <c r="H230" s="6">
        <v>1</v>
      </c>
      <c r="I230" s="7">
        <v>180.62</v>
      </c>
      <c r="J230" s="7">
        <v>180.62</v>
      </c>
      <c r="K230" s="7">
        <v>87.69</v>
      </c>
      <c r="L230" s="8">
        <v>87.69</v>
      </c>
      <c r="M230" s="7">
        <v>92.93</v>
      </c>
      <c r="N230" s="6">
        <v>145</v>
      </c>
      <c r="O230" s="6">
        <v>30</v>
      </c>
      <c r="P230" s="6">
        <v>2024</v>
      </c>
      <c r="Q230" s="4" t="s">
        <v>352</v>
      </c>
      <c r="R230" s="6">
        <v>1</v>
      </c>
      <c r="S230" s="6">
        <f>MONTH(PQ_cleaned_data[[#This Row],[Order Date]])</f>
        <v>1</v>
      </c>
    </row>
    <row r="231" spans="1:19">
      <c r="A231" s="4" t="s">
        <v>321</v>
      </c>
      <c r="B231" s="5">
        <v>45579</v>
      </c>
      <c r="C231" s="4" t="s">
        <v>70</v>
      </c>
      <c r="D231" s="4" t="s">
        <v>71</v>
      </c>
      <c r="E231" s="4" t="s">
        <v>72</v>
      </c>
      <c r="F231" s="4" t="s">
        <v>62</v>
      </c>
      <c r="G231" s="4" t="s">
        <v>88</v>
      </c>
      <c r="H231" s="6">
        <v>20</v>
      </c>
      <c r="I231" s="7">
        <v>236.84</v>
      </c>
      <c r="J231" s="7">
        <v>4736.8</v>
      </c>
      <c r="K231" s="7">
        <v>171.23</v>
      </c>
      <c r="L231" s="8">
        <v>3424.6</v>
      </c>
      <c r="M231" s="7">
        <v>1312.2</v>
      </c>
      <c r="N231" s="6">
        <v>171</v>
      </c>
      <c r="O231" s="6">
        <v>20</v>
      </c>
      <c r="P231" s="6">
        <v>2024</v>
      </c>
      <c r="Q231" s="4" t="s">
        <v>345</v>
      </c>
      <c r="R231" s="6">
        <v>4</v>
      </c>
      <c r="S231" s="6">
        <f>MONTH(PQ_cleaned_data[[#This Row],[Order Date]])</f>
        <v>10</v>
      </c>
    </row>
    <row r="232" spans="1:19">
      <c r="A232" s="4" t="s">
        <v>322</v>
      </c>
      <c r="B232" s="5">
        <v>45544</v>
      </c>
      <c r="C232" s="4" t="s">
        <v>78</v>
      </c>
      <c r="D232" s="4" t="s">
        <v>79</v>
      </c>
      <c r="E232" s="4" t="s">
        <v>72</v>
      </c>
      <c r="F232" s="4" t="s">
        <v>103</v>
      </c>
      <c r="G232" s="4" t="s">
        <v>92</v>
      </c>
      <c r="H232" s="6">
        <v>2</v>
      </c>
      <c r="I232" s="7">
        <v>247.61</v>
      </c>
      <c r="J232" s="7">
        <v>495.22</v>
      </c>
      <c r="K232" s="7">
        <v>140.77000000000001</v>
      </c>
      <c r="L232" s="8">
        <v>281.54000000000002</v>
      </c>
      <c r="M232" s="7">
        <v>213.68</v>
      </c>
      <c r="N232" s="6">
        <v>31</v>
      </c>
      <c r="O232" s="6">
        <v>30</v>
      </c>
      <c r="P232" s="6">
        <v>2024</v>
      </c>
      <c r="Q232" s="4" t="s">
        <v>347</v>
      </c>
      <c r="R232" s="6">
        <v>3</v>
      </c>
      <c r="S232" s="6">
        <f>MONTH(PQ_cleaned_data[[#This Row],[Order Date]])</f>
        <v>9</v>
      </c>
    </row>
    <row r="233" spans="1:19">
      <c r="A233" s="4" t="s">
        <v>323</v>
      </c>
      <c r="B233" s="5">
        <v>45621</v>
      </c>
      <c r="C233" s="4" t="s">
        <v>65</v>
      </c>
      <c r="D233" s="4" t="s">
        <v>66</v>
      </c>
      <c r="E233" s="4" t="s">
        <v>67</v>
      </c>
      <c r="F233" s="4" t="s">
        <v>62</v>
      </c>
      <c r="G233" s="4" t="s">
        <v>88</v>
      </c>
      <c r="H233" s="6">
        <v>15</v>
      </c>
      <c r="I233" s="7">
        <v>74.67</v>
      </c>
      <c r="J233" s="7">
        <v>1182</v>
      </c>
      <c r="K233" s="7">
        <v>55.01</v>
      </c>
      <c r="L233" s="8">
        <v>825.15</v>
      </c>
      <c r="M233" s="7">
        <v>294.89999999999998</v>
      </c>
      <c r="N233" s="6">
        <v>103</v>
      </c>
      <c r="O233" s="6">
        <v>20</v>
      </c>
      <c r="P233" s="6">
        <v>2024</v>
      </c>
      <c r="Q233" s="4" t="s">
        <v>355</v>
      </c>
      <c r="R233" s="6">
        <v>4</v>
      </c>
      <c r="S233" s="6">
        <f>MONTH(PQ_cleaned_data[[#This Row],[Order Date]])</f>
        <v>11</v>
      </c>
    </row>
    <row r="234" spans="1:19">
      <c r="A234" s="4" t="s">
        <v>324</v>
      </c>
      <c r="B234" s="5">
        <v>45446</v>
      </c>
      <c r="C234" s="4" t="s">
        <v>70</v>
      </c>
      <c r="D234" s="4" t="s">
        <v>71</v>
      </c>
      <c r="E234" s="4" t="s">
        <v>72</v>
      </c>
      <c r="F234" s="4" t="s">
        <v>62</v>
      </c>
      <c r="G234" s="4" t="s">
        <v>92</v>
      </c>
      <c r="H234" s="6">
        <v>11</v>
      </c>
      <c r="I234" s="7">
        <v>189.65</v>
      </c>
      <c r="J234" s="7">
        <v>2086.15</v>
      </c>
      <c r="K234" s="7">
        <v>106.23</v>
      </c>
      <c r="L234" s="8">
        <v>1168.53</v>
      </c>
      <c r="M234" s="7">
        <v>917.62</v>
      </c>
      <c r="N234" s="6">
        <v>142</v>
      </c>
      <c r="O234" s="6">
        <v>30</v>
      </c>
      <c r="P234" s="6">
        <v>2024</v>
      </c>
      <c r="Q234" s="4" t="s">
        <v>349</v>
      </c>
      <c r="R234" s="6">
        <v>2</v>
      </c>
      <c r="S234" s="6">
        <f>MONTH(PQ_cleaned_data[[#This Row],[Order Date]])</f>
        <v>6</v>
      </c>
    </row>
    <row r="235" spans="1:19">
      <c r="A235" s="4" t="s">
        <v>325</v>
      </c>
      <c r="B235" s="5">
        <v>45620</v>
      </c>
      <c r="C235" s="4" t="s">
        <v>90</v>
      </c>
      <c r="D235" s="4" t="s">
        <v>91</v>
      </c>
      <c r="E235" s="4" t="s">
        <v>72</v>
      </c>
      <c r="F235" s="4" t="s">
        <v>62</v>
      </c>
      <c r="G235" s="4" t="s">
        <v>74</v>
      </c>
      <c r="H235" s="6">
        <v>12</v>
      </c>
      <c r="I235" s="7">
        <v>234.74</v>
      </c>
      <c r="J235" s="7">
        <v>2816.88</v>
      </c>
      <c r="K235" s="7">
        <v>103.54</v>
      </c>
      <c r="L235" s="8">
        <v>1242.48</v>
      </c>
      <c r="M235" s="7">
        <v>1574.4</v>
      </c>
      <c r="N235" s="6">
        <v>57</v>
      </c>
      <c r="O235" s="6">
        <v>20</v>
      </c>
      <c r="P235" s="6">
        <v>2024</v>
      </c>
      <c r="Q235" s="4" t="s">
        <v>355</v>
      </c>
      <c r="R235" s="6">
        <v>4</v>
      </c>
      <c r="S235" s="6">
        <f>MONTH(PQ_cleaned_data[[#This Row],[Order Date]])</f>
        <v>11</v>
      </c>
    </row>
    <row r="236" spans="1:19">
      <c r="A236" s="4" t="s">
        <v>326</v>
      </c>
      <c r="B236" s="5">
        <v>45379</v>
      </c>
      <c r="C236" s="4" t="s">
        <v>90</v>
      </c>
      <c r="D236" s="4" t="s">
        <v>91</v>
      </c>
      <c r="E236" s="4" t="s">
        <v>72</v>
      </c>
      <c r="F236" s="4" t="s">
        <v>62</v>
      </c>
      <c r="G236" s="4" t="s">
        <v>88</v>
      </c>
      <c r="H236" s="6">
        <v>7</v>
      </c>
      <c r="I236" s="7">
        <v>182.41</v>
      </c>
      <c r="J236" s="7">
        <v>1182</v>
      </c>
      <c r="K236" s="7">
        <v>132.22999999999999</v>
      </c>
      <c r="L236" s="8">
        <v>925.61</v>
      </c>
      <c r="M236" s="7">
        <v>351.26</v>
      </c>
      <c r="N236" s="6">
        <v>137</v>
      </c>
      <c r="O236" s="6">
        <v>20</v>
      </c>
      <c r="P236" s="6">
        <v>2024</v>
      </c>
      <c r="Q236" s="4" t="s">
        <v>351</v>
      </c>
      <c r="R236" s="6">
        <v>1</v>
      </c>
      <c r="S236" s="6">
        <f>MONTH(PQ_cleaned_data[[#This Row],[Order Date]])</f>
        <v>3</v>
      </c>
    </row>
    <row r="237" spans="1:19">
      <c r="A237" s="4" t="s">
        <v>327</v>
      </c>
      <c r="B237" s="5">
        <v>45427</v>
      </c>
      <c r="C237" s="4" t="s">
        <v>84</v>
      </c>
      <c r="D237" s="4" t="s">
        <v>85</v>
      </c>
      <c r="E237" s="4" t="s">
        <v>86</v>
      </c>
      <c r="F237" s="4" t="s">
        <v>103</v>
      </c>
      <c r="G237" s="4" t="s">
        <v>92</v>
      </c>
      <c r="H237" s="6">
        <v>20</v>
      </c>
      <c r="I237" s="7">
        <v>198.95</v>
      </c>
      <c r="J237" s="7">
        <v>3979</v>
      </c>
      <c r="K237" s="7">
        <v>109.79</v>
      </c>
      <c r="L237" s="8">
        <v>2195.8000000000002</v>
      </c>
      <c r="M237" s="7">
        <v>1783.2</v>
      </c>
      <c r="N237" s="6">
        <v>178</v>
      </c>
      <c r="O237" s="6">
        <v>20</v>
      </c>
      <c r="P237" s="6">
        <v>2024</v>
      </c>
      <c r="Q237" s="4" t="s">
        <v>354</v>
      </c>
      <c r="R237" s="6">
        <v>2</v>
      </c>
      <c r="S237" s="6">
        <f>MONTH(PQ_cleaned_data[[#This Row],[Order Date]])</f>
        <v>5</v>
      </c>
    </row>
    <row r="238" spans="1:19">
      <c r="A238" s="4" t="s">
        <v>328</v>
      </c>
      <c r="B238" s="5">
        <v>45503</v>
      </c>
      <c r="C238" s="4" t="s">
        <v>78</v>
      </c>
      <c r="D238" s="4" t="s">
        <v>79</v>
      </c>
      <c r="E238" s="4" t="s">
        <v>72</v>
      </c>
      <c r="F238" s="4" t="s">
        <v>82</v>
      </c>
      <c r="G238" s="4" t="s">
        <v>68</v>
      </c>
      <c r="H238" s="6">
        <v>4</v>
      </c>
      <c r="I238" s="7">
        <v>132.83000000000001</v>
      </c>
      <c r="J238" s="7">
        <v>531.32000000000005</v>
      </c>
      <c r="K238" s="7">
        <v>65.91</v>
      </c>
      <c r="L238" s="8">
        <v>263.64</v>
      </c>
      <c r="M238" s="7">
        <v>267.68</v>
      </c>
      <c r="N238" s="6">
        <v>122</v>
      </c>
      <c r="O238" s="6">
        <v>50</v>
      </c>
      <c r="P238" s="6">
        <v>2024</v>
      </c>
      <c r="Q238" s="4" t="s">
        <v>350</v>
      </c>
      <c r="R238" s="6">
        <v>3</v>
      </c>
      <c r="S238" s="6">
        <f>MONTH(PQ_cleaned_data[[#This Row],[Order Date]])</f>
        <v>7</v>
      </c>
    </row>
    <row r="239" spans="1:19">
      <c r="A239" s="4" t="s">
        <v>329</v>
      </c>
      <c r="B239" s="5">
        <v>45443</v>
      </c>
      <c r="C239" s="4" t="s">
        <v>90</v>
      </c>
      <c r="D239" s="4" t="s">
        <v>91</v>
      </c>
      <c r="E239" s="4" t="s">
        <v>72</v>
      </c>
      <c r="F239" s="4" t="s">
        <v>62</v>
      </c>
      <c r="G239" s="4" t="s">
        <v>88</v>
      </c>
      <c r="H239" s="6">
        <v>12</v>
      </c>
      <c r="I239" s="7">
        <v>141.84</v>
      </c>
      <c r="J239" s="7">
        <v>1182</v>
      </c>
      <c r="K239" s="7">
        <v>71.95</v>
      </c>
      <c r="L239" s="8">
        <v>1275.1199999999999</v>
      </c>
      <c r="M239" s="7">
        <v>426.96</v>
      </c>
      <c r="N239" s="6">
        <v>168</v>
      </c>
      <c r="O239" s="6">
        <v>50</v>
      </c>
      <c r="P239" s="6">
        <v>2024</v>
      </c>
      <c r="Q239" s="4" t="s">
        <v>354</v>
      </c>
      <c r="R239" s="6">
        <v>2</v>
      </c>
      <c r="S239" s="6">
        <f>MONTH(PQ_cleaned_data[[#This Row],[Order Date]])</f>
        <v>5</v>
      </c>
    </row>
    <row r="240" spans="1:19">
      <c r="A240" s="4" t="s">
        <v>330</v>
      </c>
      <c r="B240" s="5">
        <v>45402</v>
      </c>
      <c r="C240" s="4" t="s">
        <v>78</v>
      </c>
      <c r="D240" s="4" t="s">
        <v>79</v>
      </c>
      <c r="E240" s="4" t="s">
        <v>72</v>
      </c>
      <c r="F240" s="4" t="s">
        <v>76</v>
      </c>
      <c r="G240" s="4" t="s">
        <v>68</v>
      </c>
      <c r="H240" s="6">
        <v>13</v>
      </c>
      <c r="I240" s="7">
        <v>51.04</v>
      </c>
      <c r="J240" s="7">
        <v>663.52</v>
      </c>
      <c r="K240" s="7">
        <v>22.55</v>
      </c>
      <c r="L240" s="8">
        <v>293.14999999999998</v>
      </c>
      <c r="M240" s="7">
        <v>370.37</v>
      </c>
      <c r="N240" s="6">
        <v>53</v>
      </c>
      <c r="O240" s="6">
        <v>50</v>
      </c>
      <c r="P240" s="6">
        <v>2024</v>
      </c>
      <c r="Q240" s="4" t="s">
        <v>353</v>
      </c>
      <c r="R240" s="6">
        <v>2</v>
      </c>
      <c r="S240" s="6">
        <f>MONTH(PQ_cleaned_data[[#This Row],[Order Date]])</f>
        <v>4</v>
      </c>
    </row>
    <row r="241" spans="1:19">
      <c r="A241" s="4" t="s">
        <v>331</v>
      </c>
      <c r="B241" s="5">
        <v>45358</v>
      </c>
      <c r="C241" s="4" t="s">
        <v>59</v>
      </c>
      <c r="D241" s="4" t="s">
        <v>60</v>
      </c>
      <c r="E241" s="4" t="s">
        <v>61</v>
      </c>
      <c r="F241" s="4" t="s">
        <v>119</v>
      </c>
      <c r="G241" s="4" t="s">
        <v>99</v>
      </c>
      <c r="H241" s="6">
        <v>12</v>
      </c>
      <c r="I241" s="7">
        <v>99.47</v>
      </c>
      <c r="J241" s="7">
        <v>1193.6400000000001</v>
      </c>
      <c r="K241" s="7">
        <v>57.79</v>
      </c>
      <c r="L241" s="8">
        <v>693.48</v>
      </c>
      <c r="M241" s="7">
        <v>500.16</v>
      </c>
      <c r="N241" s="6">
        <v>158</v>
      </c>
      <c r="O241" s="6">
        <v>50</v>
      </c>
      <c r="P241" s="6">
        <v>2024</v>
      </c>
      <c r="Q241" s="4" t="s">
        <v>351</v>
      </c>
      <c r="R241" s="6">
        <v>1</v>
      </c>
      <c r="S241" s="6">
        <f>MONTH(PQ_cleaned_data[[#This Row],[Order Date]])</f>
        <v>3</v>
      </c>
    </row>
    <row r="242" spans="1:19">
      <c r="A242" s="4" t="s">
        <v>332</v>
      </c>
      <c r="B242" s="5">
        <v>45587</v>
      </c>
      <c r="C242" s="4" t="s">
        <v>90</v>
      </c>
      <c r="D242" s="4" t="s">
        <v>91</v>
      </c>
      <c r="E242" s="4" t="s">
        <v>72</v>
      </c>
      <c r="F242" s="4" t="s">
        <v>62</v>
      </c>
      <c r="G242" s="4" t="s">
        <v>88</v>
      </c>
      <c r="H242" s="6">
        <v>5</v>
      </c>
      <c r="I242" s="7">
        <v>117.93</v>
      </c>
      <c r="J242" s="7">
        <v>589.65</v>
      </c>
      <c r="K242" s="7">
        <v>52.23</v>
      </c>
      <c r="L242" s="8">
        <v>261.14999999999998</v>
      </c>
      <c r="M242" s="7">
        <v>328.5</v>
      </c>
      <c r="N242" s="6">
        <v>28</v>
      </c>
      <c r="O242" s="6">
        <v>20</v>
      </c>
      <c r="P242" s="6">
        <v>2024</v>
      </c>
      <c r="Q242" s="4" t="s">
        <v>345</v>
      </c>
      <c r="R242" s="6">
        <v>4</v>
      </c>
      <c r="S242" s="6">
        <f>MONTH(PQ_cleaned_data[[#This Row],[Order Date]])</f>
        <v>10</v>
      </c>
    </row>
    <row r="243" spans="1:19">
      <c r="A243" s="4" t="s">
        <v>333</v>
      </c>
      <c r="B243" s="5">
        <v>45427</v>
      </c>
      <c r="C243" s="4" t="s">
        <v>90</v>
      </c>
      <c r="D243" s="4" t="s">
        <v>91</v>
      </c>
      <c r="E243" s="4" t="s">
        <v>72</v>
      </c>
      <c r="F243" s="4" t="s">
        <v>62</v>
      </c>
      <c r="G243" s="4" t="s">
        <v>92</v>
      </c>
      <c r="H243" s="6">
        <v>18</v>
      </c>
      <c r="I243" s="7">
        <v>25.6</v>
      </c>
      <c r="J243" s="7">
        <v>460.8</v>
      </c>
      <c r="K243" s="7">
        <v>71.95</v>
      </c>
      <c r="L243" s="8">
        <v>263.88</v>
      </c>
      <c r="M243" s="7">
        <v>196.92</v>
      </c>
      <c r="N243" s="6">
        <v>38</v>
      </c>
      <c r="O243" s="6">
        <v>30</v>
      </c>
      <c r="P243" s="6">
        <v>2024</v>
      </c>
      <c r="Q243" s="4" t="s">
        <v>354</v>
      </c>
      <c r="R243" s="6">
        <v>2</v>
      </c>
      <c r="S243" s="6">
        <f>MONTH(PQ_cleaned_data[[#This Row],[Order Date]])</f>
        <v>5</v>
      </c>
    </row>
    <row r="244" spans="1:19">
      <c r="A244" s="4" t="s">
        <v>334</v>
      </c>
      <c r="B244" s="5">
        <v>45487</v>
      </c>
      <c r="C244" s="4" t="s">
        <v>96</v>
      </c>
      <c r="D244" s="4" t="s">
        <v>97</v>
      </c>
      <c r="E244" s="4" t="s">
        <v>67</v>
      </c>
      <c r="F244" s="4" t="s">
        <v>82</v>
      </c>
      <c r="G244" s="4" t="s">
        <v>92</v>
      </c>
      <c r="H244" s="6">
        <v>7</v>
      </c>
      <c r="I244" s="7">
        <v>77.03</v>
      </c>
      <c r="J244" s="7">
        <v>539.21</v>
      </c>
      <c r="K244" s="7">
        <v>43.22</v>
      </c>
      <c r="L244" s="8">
        <v>302.54000000000002</v>
      </c>
      <c r="M244" s="7">
        <v>236.67</v>
      </c>
      <c r="N244" s="6">
        <v>152</v>
      </c>
      <c r="O244" s="6">
        <v>30</v>
      </c>
      <c r="P244" s="6">
        <v>2024</v>
      </c>
      <c r="Q244" s="4" t="s">
        <v>350</v>
      </c>
      <c r="R244" s="6">
        <v>3</v>
      </c>
      <c r="S244" s="6">
        <f>MONTH(PQ_cleaned_data[[#This Row],[Order Date]])</f>
        <v>7</v>
      </c>
    </row>
    <row r="245" spans="1:19">
      <c r="A245" s="4" t="s">
        <v>335</v>
      </c>
      <c r="B245" s="5">
        <v>45404</v>
      </c>
      <c r="C245" s="4" t="s">
        <v>90</v>
      </c>
      <c r="D245" s="4" t="s">
        <v>91</v>
      </c>
      <c r="E245" s="4" t="s">
        <v>72</v>
      </c>
      <c r="F245" s="4" t="s">
        <v>106</v>
      </c>
      <c r="G245" s="4" t="s">
        <v>68</v>
      </c>
      <c r="H245" s="6">
        <v>2</v>
      </c>
      <c r="I245" s="7">
        <v>224.29</v>
      </c>
      <c r="J245" s="7">
        <v>448.58</v>
      </c>
      <c r="K245" s="7">
        <v>141.32</v>
      </c>
      <c r="L245" s="8">
        <v>282.64</v>
      </c>
      <c r="M245" s="7">
        <v>165.94</v>
      </c>
      <c r="N245" s="6">
        <v>61</v>
      </c>
      <c r="O245" s="6">
        <v>20</v>
      </c>
      <c r="P245" s="6">
        <v>2024</v>
      </c>
      <c r="Q245" s="4" t="s">
        <v>353</v>
      </c>
      <c r="R245" s="6">
        <v>2</v>
      </c>
      <c r="S245" s="6">
        <f>MONTH(PQ_cleaned_data[[#This Row],[Order Date]])</f>
        <v>4</v>
      </c>
    </row>
    <row r="246" spans="1:19">
      <c r="A246" s="4" t="s">
        <v>336</v>
      </c>
      <c r="B246" s="5">
        <v>45343</v>
      </c>
      <c r="C246" s="4" t="s">
        <v>59</v>
      </c>
      <c r="D246" s="4" t="s">
        <v>60</v>
      </c>
      <c r="E246" s="4" t="s">
        <v>61</v>
      </c>
      <c r="F246" s="4" t="s">
        <v>82</v>
      </c>
      <c r="G246" s="4" t="s">
        <v>88</v>
      </c>
      <c r="H246" s="6">
        <v>9</v>
      </c>
      <c r="I246" s="7">
        <v>126.32</v>
      </c>
      <c r="J246" s="7">
        <v>1182</v>
      </c>
      <c r="K246" s="7">
        <v>59.17</v>
      </c>
      <c r="L246" s="8">
        <v>532.53</v>
      </c>
      <c r="M246" s="7">
        <v>604.35</v>
      </c>
      <c r="N246" s="6">
        <v>52</v>
      </c>
      <c r="O246" s="6">
        <v>30</v>
      </c>
      <c r="P246" s="6">
        <v>2024</v>
      </c>
      <c r="Q246" s="4" t="s">
        <v>348</v>
      </c>
      <c r="R246" s="6">
        <v>1</v>
      </c>
      <c r="S246" s="6">
        <f>MONTH(PQ_cleaned_data[[#This Row],[Order Date]])</f>
        <v>2</v>
      </c>
    </row>
    <row r="247" spans="1:19">
      <c r="A247" s="4" t="s">
        <v>337</v>
      </c>
      <c r="B247" s="5">
        <v>45610</v>
      </c>
      <c r="C247" s="4" t="s">
        <v>78</v>
      </c>
      <c r="D247" s="4" t="s">
        <v>79</v>
      </c>
      <c r="E247" s="4" t="s">
        <v>72</v>
      </c>
      <c r="F247" s="4" t="s">
        <v>106</v>
      </c>
      <c r="G247" s="4" t="s">
        <v>74</v>
      </c>
      <c r="H247" s="6">
        <v>10</v>
      </c>
      <c r="I247" s="7">
        <v>213.88</v>
      </c>
      <c r="J247" s="7">
        <v>2138.8000000000002</v>
      </c>
      <c r="K247" s="7">
        <v>71.95</v>
      </c>
      <c r="L247" s="8">
        <v>1444.1</v>
      </c>
      <c r="M247" s="7">
        <v>694.7</v>
      </c>
      <c r="N247" s="6">
        <v>43</v>
      </c>
      <c r="O247" s="6">
        <v>30</v>
      </c>
      <c r="P247" s="6">
        <v>2024</v>
      </c>
      <c r="Q247" s="4" t="s">
        <v>355</v>
      </c>
      <c r="R247" s="6">
        <v>4</v>
      </c>
      <c r="S247" s="6">
        <f>MONTH(PQ_cleaned_data[[#This Row],[Order Date]])</f>
        <v>11</v>
      </c>
    </row>
    <row r="248" spans="1:19">
      <c r="A248" s="4" t="s">
        <v>338</v>
      </c>
      <c r="B248" s="5">
        <v>45534</v>
      </c>
      <c r="C248" s="4" t="s">
        <v>96</v>
      </c>
      <c r="D248" s="4" t="s">
        <v>97</v>
      </c>
      <c r="E248" s="4" t="s">
        <v>67</v>
      </c>
      <c r="F248" s="4" t="s">
        <v>62</v>
      </c>
      <c r="G248" s="4" t="s">
        <v>92</v>
      </c>
      <c r="H248" s="6">
        <v>11</v>
      </c>
      <c r="I248" s="7">
        <v>10.1</v>
      </c>
      <c r="J248" s="7">
        <v>1182</v>
      </c>
      <c r="K248" s="7">
        <v>7.98</v>
      </c>
      <c r="L248" s="8">
        <v>87.78</v>
      </c>
      <c r="M248" s="7">
        <v>23.32</v>
      </c>
      <c r="N248" s="6">
        <v>19</v>
      </c>
      <c r="O248" s="6">
        <v>20</v>
      </c>
      <c r="P248" s="6">
        <v>2024</v>
      </c>
      <c r="Q248" s="4" t="s">
        <v>346</v>
      </c>
      <c r="R248" s="6">
        <v>3</v>
      </c>
      <c r="S248" s="6">
        <f>MONTH(PQ_cleaned_data[[#This Row],[Order Date]])</f>
        <v>8</v>
      </c>
    </row>
    <row r="249" spans="1:19">
      <c r="A249" s="4" t="s">
        <v>339</v>
      </c>
      <c r="B249" s="5">
        <v>45533</v>
      </c>
      <c r="C249" s="4" t="s">
        <v>90</v>
      </c>
      <c r="D249" s="4" t="s">
        <v>91</v>
      </c>
      <c r="E249" s="4" t="s">
        <v>72</v>
      </c>
      <c r="F249" s="4" t="s">
        <v>103</v>
      </c>
      <c r="G249" s="4" t="s">
        <v>88</v>
      </c>
      <c r="H249" s="6">
        <v>2</v>
      </c>
      <c r="I249" s="7">
        <v>205.64</v>
      </c>
      <c r="J249" s="7">
        <v>411.28</v>
      </c>
      <c r="K249" s="7">
        <v>128.91999999999999</v>
      </c>
      <c r="L249" s="8">
        <v>257.83999999999997</v>
      </c>
      <c r="M249" s="7">
        <v>153.44</v>
      </c>
      <c r="N249" s="6">
        <v>74</v>
      </c>
      <c r="O249" s="6">
        <v>20</v>
      </c>
      <c r="P249" s="6">
        <v>2024</v>
      </c>
      <c r="Q249" s="4" t="s">
        <v>346</v>
      </c>
      <c r="R249" s="6">
        <v>3</v>
      </c>
      <c r="S249" s="6">
        <f>MONTH(PQ_cleaned_data[[#This Row],[Order Date]])</f>
        <v>8</v>
      </c>
    </row>
    <row r="250" spans="1:19">
      <c r="A250" s="4" t="s">
        <v>340</v>
      </c>
      <c r="B250" s="5">
        <v>45543</v>
      </c>
      <c r="C250" s="4" t="s">
        <v>84</v>
      </c>
      <c r="D250" s="4" t="s">
        <v>85</v>
      </c>
      <c r="E250" s="4" t="s">
        <v>86</v>
      </c>
      <c r="F250" s="4" t="s">
        <v>62</v>
      </c>
      <c r="G250" s="4" t="s">
        <v>68</v>
      </c>
      <c r="H250" s="6">
        <v>18</v>
      </c>
      <c r="I250" s="7">
        <v>68.05</v>
      </c>
      <c r="J250" s="7">
        <v>1224.9000000000001</v>
      </c>
      <c r="K250" s="7">
        <v>40.46</v>
      </c>
      <c r="L250" s="8">
        <v>728.28</v>
      </c>
      <c r="M250" s="7">
        <v>496.62</v>
      </c>
      <c r="N250" s="6">
        <v>93</v>
      </c>
      <c r="O250" s="6">
        <v>30</v>
      </c>
      <c r="P250" s="6">
        <v>2024</v>
      </c>
      <c r="Q250" s="4" t="s">
        <v>347</v>
      </c>
      <c r="R250" s="6">
        <v>3</v>
      </c>
      <c r="S250" s="6">
        <f>MONTH(PQ_cleaned_data[[#This Row],[Order Date]])</f>
        <v>9</v>
      </c>
    </row>
    <row r="251" spans="1:19">
      <c r="A251" s="4" t="s">
        <v>341</v>
      </c>
      <c r="B251" s="5">
        <v>45597</v>
      </c>
      <c r="C251" s="4" t="s">
        <v>78</v>
      </c>
      <c r="D251" s="4" t="s">
        <v>79</v>
      </c>
      <c r="E251" s="4" t="s">
        <v>72</v>
      </c>
      <c r="F251" s="4" t="s">
        <v>103</v>
      </c>
      <c r="G251" s="4" t="s">
        <v>99</v>
      </c>
      <c r="H251" s="6">
        <v>4</v>
      </c>
      <c r="I251" s="7">
        <v>71.13</v>
      </c>
      <c r="J251" s="7">
        <v>284.52</v>
      </c>
      <c r="K251" s="7">
        <v>43.23</v>
      </c>
      <c r="L251" s="8">
        <v>172.92</v>
      </c>
      <c r="M251" s="7">
        <v>111.6</v>
      </c>
      <c r="N251" s="6">
        <v>163</v>
      </c>
      <c r="O251" s="6">
        <v>20</v>
      </c>
      <c r="P251" s="6">
        <v>2024</v>
      </c>
      <c r="Q251" s="4" t="s">
        <v>355</v>
      </c>
      <c r="R251" s="6">
        <v>4</v>
      </c>
      <c r="S251" s="6">
        <f>MONTH(PQ_cleaned_data[[#This Row],[Order Date]])</f>
        <v>11</v>
      </c>
    </row>
  </sheetData>
  <dataValidations count="4">
    <dataValidation type="date" allowBlank="1" showInputMessage="1" showErrorMessage="1" sqref="B1:B1048576" xr:uid="{00000000-0002-0000-0300-000000000000}">
      <formula1>45292</formula1>
      <formula2>45657</formula2>
    </dataValidation>
    <dataValidation type="list" allowBlank="1" showInputMessage="1" showErrorMessage="1" sqref="D1:D251" xr:uid="{00000000-0002-0000-0300-000001000000}">
      <formula1>$D$2:$D$251</formula1>
    </dataValidation>
    <dataValidation type="list" allowBlank="1" showInputMessage="1" showErrorMessage="1" sqref="E1:E1048576" xr:uid="{00000000-0002-0000-0300-000002000000}">
      <formula1>$E$2:$E$251</formula1>
    </dataValidation>
    <dataValidation type="list" allowBlank="1" showInputMessage="1" showErrorMessage="1" sqref="F1:F251" xr:uid="{00000000-0002-0000-0300-000003000000}">
      <formula1>$F$232:$F$251</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workbookViewId="0">
      <selection activeCell="N17" sqref="N17"/>
    </sheetView>
  </sheetViews>
  <sheetFormatPr defaultColWidth="9" defaultRowHeight="15"/>
  <cols>
    <col min="1" max="1" width="13.140625" bestFit="1" customWidth="1"/>
    <col min="2" max="2" width="17.28515625" bestFit="1" customWidth="1"/>
    <col min="3" max="3" width="10.5703125" bestFit="1" customWidth="1"/>
    <col min="4" max="4" width="17.28515625" bestFit="1" customWidth="1"/>
    <col min="5" max="5" width="16.28515625" bestFit="1" customWidth="1"/>
    <col min="6" max="7" width="8" bestFit="1" customWidth="1"/>
  </cols>
  <sheetData>
    <row r="1" spans="1:7">
      <c r="A1" s="16" t="s">
        <v>357</v>
      </c>
      <c r="B1" t="s">
        <v>52</v>
      </c>
      <c r="D1" s="16" t="s">
        <v>357</v>
      </c>
      <c r="E1" t="s">
        <v>358</v>
      </c>
    </row>
    <row r="2" spans="1:7">
      <c r="A2" s="17" t="s">
        <v>91</v>
      </c>
      <c r="B2" s="18">
        <v>51107.03</v>
      </c>
      <c r="D2" s="17" t="s">
        <v>362</v>
      </c>
      <c r="E2" s="18">
        <v>35350.839999999997</v>
      </c>
    </row>
    <row r="3" spans="1:7">
      <c r="A3" s="17" t="s">
        <v>79</v>
      </c>
      <c r="B3" s="18">
        <v>45803.08</v>
      </c>
      <c r="D3" s="17" t="s">
        <v>363</v>
      </c>
      <c r="E3" s="18">
        <v>42895.64</v>
      </c>
    </row>
    <row r="4" spans="1:7">
      <c r="A4" s="17" t="s">
        <v>60</v>
      </c>
      <c r="B4" s="18">
        <v>41748.46</v>
      </c>
      <c r="D4" s="17" t="s">
        <v>364</v>
      </c>
      <c r="E4" s="18">
        <v>28986.07</v>
      </c>
    </row>
    <row r="5" spans="1:7">
      <c r="A5" s="17" t="s">
        <v>71</v>
      </c>
      <c r="B5" s="18">
        <v>40124.269999999997</v>
      </c>
      <c r="D5" s="17" t="s">
        <v>365</v>
      </c>
      <c r="E5" s="18">
        <v>21706.22</v>
      </c>
    </row>
    <row r="6" spans="1:7">
      <c r="A6" s="17" t="s">
        <v>66</v>
      </c>
      <c r="B6" s="18">
        <v>33370.879999999997</v>
      </c>
      <c r="D6" s="17" t="s">
        <v>354</v>
      </c>
      <c r="E6" s="18">
        <v>29621.38</v>
      </c>
    </row>
    <row r="7" spans="1:7">
      <c r="D7" s="17" t="s">
        <v>366</v>
      </c>
      <c r="E7" s="18">
        <v>21473.75</v>
      </c>
    </row>
    <row r="8" spans="1:7">
      <c r="D8" s="17" t="s">
        <v>367</v>
      </c>
      <c r="E8" s="18">
        <v>28490.09</v>
      </c>
    </row>
    <row r="9" spans="1:7">
      <c r="A9" t="s">
        <v>358</v>
      </c>
      <c r="D9" s="17" t="s">
        <v>368</v>
      </c>
      <c r="E9" s="18">
        <v>27137.31</v>
      </c>
    </row>
    <row r="10" spans="1:7">
      <c r="A10" s="18">
        <v>295500.48</v>
      </c>
      <c r="B10" s="18">
        <f>GETPIVOTDATA("[Measures].[Sum of Total Sales]",$A$9)</f>
        <v>295500.48</v>
      </c>
      <c r="D10" s="17" t="s">
        <v>369</v>
      </c>
      <c r="E10" s="18">
        <v>17205.73</v>
      </c>
    </row>
    <row r="11" spans="1:7">
      <c r="D11" s="17" t="s">
        <v>370</v>
      </c>
      <c r="E11" s="18">
        <v>27612.880000000001</v>
      </c>
    </row>
    <row r="12" spans="1:7">
      <c r="A12" s="6" t="s">
        <v>359</v>
      </c>
      <c r="D12" s="17" t="s">
        <v>371</v>
      </c>
      <c r="E12" s="18">
        <v>15020.57</v>
      </c>
    </row>
    <row r="13" spans="1:7">
      <c r="A13" s="6">
        <v>2432</v>
      </c>
      <c r="B13">
        <f>GETPIVOTDATA("[Measures].[Sum of Quantity Sold]",$A$12)</f>
        <v>2432</v>
      </c>
    </row>
    <row r="15" spans="1:7">
      <c r="A15" s="6" t="s">
        <v>360</v>
      </c>
      <c r="D15" s="16" t="s">
        <v>358</v>
      </c>
      <c r="E15" s="16" t="s">
        <v>372</v>
      </c>
    </row>
    <row r="16" spans="1:7">
      <c r="A16" s="6">
        <v>250</v>
      </c>
      <c r="B16">
        <f>GETPIVOTDATA("[Measures].[Distinct Count of Order ID]",$A$15)</f>
        <v>250</v>
      </c>
      <c r="D16" s="16" t="s">
        <v>357</v>
      </c>
      <c r="E16">
        <v>20</v>
      </c>
      <c r="F16">
        <v>30</v>
      </c>
      <c r="G16">
        <v>50</v>
      </c>
    </row>
    <row r="17" spans="1:7">
      <c r="D17" s="17" t="s">
        <v>103</v>
      </c>
      <c r="E17" s="18">
        <v>13616.42</v>
      </c>
      <c r="F17" s="18">
        <v>10403.379999999999</v>
      </c>
      <c r="G17" s="18">
        <v>11032.13</v>
      </c>
    </row>
    <row r="18" spans="1:7">
      <c r="A18" s="19" t="s">
        <v>357</v>
      </c>
      <c r="B18" s="6" t="s">
        <v>358</v>
      </c>
      <c r="D18" s="17" t="s">
        <v>106</v>
      </c>
      <c r="E18" s="18">
        <v>7611.84</v>
      </c>
      <c r="F18" s="18">
        <v>12213.45</v>
      </c>
      <c r="G18" s="18">
        <v>10931.53</v>
      </c>
    </row>
    <row r="19" spans="1:7">
      <c r="A19" s="20" t="s">
        <v>72</v>
      </c>
      <c r="B19" s="6">
        <v>137034.38</v>
      </c>
      <c r="D19" s="17" t="s">
        <v>62</v>
      </c>
      <c r="E19" s="18">
        <v>46694.94</v>
      </c>
      <c r="F19" s="18">
        <v>36798.720000000001</v>
      </c>
      <c r="G19" s="18">
        <v>34520.629999999997</v>
      </c>
    </row>
    <row r="20" spans="1:7">
      <c r="A20" s="20" t="s">
        <v>67</v>
      </c>
      <c r="B20" s="6">
        <v>83712.399999999994</v>
      </c>
      <c r="D20" s="17" t="s">
        <v>82</v>
      </c>
      <c r="E20" s="18">
        <v>25182.639999999999</v>
      </c>
      <c r="F20" s="18">
        <v>14515.52</v>
      </c>
      <c r="G20" s="18">
        <v>25365.89</v>
      </c>
    </row>
    <row r="21" spans="1:7">
      <c r="A21" s="20" t="s">
        <v>86</v>
      </c>
      <c r="B21" s="6">
        <v>33005.24</v>
      </c>
      <c r="D21" s="17" t="s">
        <v>76</v>
      </c>
      <c r="E21" s="18">
        <v>7992.97</v>
      </c>
      <c r="F21" s="18">
        <v>5254.81</v>
      </c>
      <c r="G21" s="18">
        <v>9408.48</v>
      </c>
    </row>
    <row r="22" spans="1:7">
      <c r="A22" s="20" t="s">
        <v>61</v>
      </c>
      <c r="B22" s="6">
        <v>41748.46</v>
      </c>
      <c r="D22" s="17" t="s">
        <v>119</v>
      </c>
      <c r="E22" s="18">
        <v>11430.89</v>
      </c>
      <c r="F22" s="18">
        <v>3850.32</v>
      </c>
      <c r="G22" s="18">
        <v>8675.92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
  <sheetViews>
    <sheetView showGridLines="0" zoomScale="67" zoomScaleNormal="67" workbookViewId="0">
      <selection activeCell="P7" sqref="P7"/>
    </sheetView>
  </sheetViews>
  <sheetFormatPr defaultColWidth="9" defaultRowHeight="15"/>
  <cols>
    <col min="2" max="2" width="17.7109375" customWidth="1"/>
    <col min="3" max="3" width="11" customWidth="1"/>
    <col min="4" max="4" width="14.28515625" customWidth="1"/>
    <col min="5" max="5" width="1.42578125" customWidth="1"/>
    <col min="6" max="6" width="11" customWidth="1"/>
    <col min="7" max="7" width="11.5703125" customWidth="1"/>
    <col min="8" max="8" width="3.140625" customWidth="1"/>
    <col min="9" max="9" width="2.85546875" customWidth="1"/>
    <col min="10" max="10" width="8.85546875" customWidth="1"/>
    <col min="11" max="11" width="3.140625" customWidth="1"/>
    <col min="12" max="12" width="13.42578125" customWidth="1"/>
    <col min="13" max="13" width="1.28515625" customWidth="1"/>
    <col min="14" max="14" width="33.7109375" customWidth="1"/>
  </cols>
  <sheetData>
    <row r="1" spans="1:14" ht="15" customHeight="1">
      <c r="A1" s="36"/>
      <c r="B1" s="38" t="s">
        <v>356</v>
      </c>
      <c r="C1" s="33"/>
      <c r="D1" s="33"/>
      <c r="E1" s="33"/>
      <c r="F1" s="33"/>
      <c r="G1" s="33"/>
      <c r="H1" s="33"/>
      <c r="I1" s="33"/>
      <c r="J1" s="33"/>
      <c r="K1" s="2"/>
      <c r="L1" s="2"/>
      <c r="M1" s="2"/>
      <c r="N1" s="2"/>
    </row>
    <row r="2" spans="1:14" ht="15" customHeight="1">
      <c r="A2" s="36"/>
      <c r="B2" s="33"/>
      <c r="C2" s="33"/>
      <c r="D2" s="33"/>
      <c r="E2" s="33"/>
      <c r="F2" s="33"/>
      <c r="G2" s="33"/>
      <c r="H2" s="33"/>
      <c r="I2" s="33"/>
      <c r="J2" s="33"/>
      <c r="K2" s="34"/>
      <c r="L2" s="34"/>
      <c r="M2" s="34"/>
      <c r="N2" s="34"/>
    </row>
    <row r="3" spans="1:14">
      <c r="A3" s="37"/>
      <c r="B3" s="33"/>
      <c r="C3" s="33"/>
      <c r="D3" s="33"/>
      <c r="E3" s="33"/>
      <c r="F3" s="33"/>
      <c r="G3" s="33"/>
      <c r="H3" s="33"/>
      <c r="I3" s="33"/>
      <c r="J3" s="33"/>
      <c r="K3" s="34"/>
      <c r="L3" s="34"/>
      <c r="M3" s="34"/>
      <c r="N3" s="34"/>
    </row>
    <row r="5" spans="1:14">
      <c r="C5" s="31">
        <f>'Pivot Table Analysis'!B10</f>
        <v>295500.48</v>
      </c>
      <c r="D5" s="31"/>
      <c r="F5" s="35">
        <f>'Pivot Table Analysis'!B13</f>
        <v>2432</v>
      </c>
      <c r="G5" s="35"/>
      <c r="H5" s="35"/>
      <c r="J5" s="32">
        <f>'Pivot Table Analysis'!B16</f>
        <v>250</v>
      </c>
      <c r="K5" s="32"/>
      <c r="L5" s="32"/>
      <c r="M5" s="3"/>
      <c r="N5" s="31">
        <f>'Pivot Table Analysis'!B10/'Pivot Table Analysis'!B16</f>
        <v>1182.0019199999999</v>
      </c>
    </row>
    <row r="6" spans="1:14">
      <c r="C6" s="31"/>
      <c r="D6" s="31"/>
      <c r="F6" s="35"/>
      <c r="G6" s="35"/>
      <c r="H6" s="35"/>
      <c r="J6" s="32"/>
      <c r="K6" s="32"/>
      <c r="L6" s="32"/>
      <c r="M6" s="3"/>
      <c r="N6" s="31"/>
    </row>
    <row r="7" spans="1:14">
      <c r="C7" s="31"/>
      <c r="D7" s="31"/>
      <c r="F7" s="35"/>
      <c r="G7" s="35"/>
      <c r="H7" s="35"/>
      <c r="J7" s="32"/>
      <c r="K7" s="32"/>
      <c r="L7" s="32"/>
      <c r="M7" s="3"/>
      <c r="N7" s="31"/>
    </row>
  </sheetData>
  <mergeCells count="9">
    <mergeCell ref="N5:N7"/>
    <mergeCell ref="C5:D7"/>
    <mergeCell ref="F5:H7"/>
    <mergeCell ref="J5:L7"/>
    <mergeCell ref="K2:L2"/>
    <mergeCell ref="M2:N2"/>
    <mergeCell ref="K3:L3"/>
    <mergeCell ref="M3:N3"/>
    <mergeCell ref="B1:J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78785B-381E-493D-951F-7FEFE14A24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Documentation</vt:lpstr>
      <vt:lpstr>Raw Data</vt:lpstr>
      <vt:lpstr>Cleaned Sales Inventory</vt:lpstr>
      <vt:lpstr>PQ_cleaned_sales_inventory</vt:lpstr>
      <vt:lpstr>Pivot Table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Ayomide Olagunju</cp:lastModifiedBy>
  <dcterms:created xsi:type="dcterms:W3CDTF">2025-11-19T16:45:00Z</dcterms:created>
  <dcterms:modified xsi:type="dcterms:W3CDTF">2025-11-26T18:18:39Z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32F16A38D64D4AF5B16E20A46A85EC7B_12</vt:lpwstr>
  </property>
  <property fmtid="{D5CDD505-2E9C-101B-9397-08002B2CF9AE}" pid="3" name="KSOProductBuildVer">
    <vt:lpwstr>1033-12.2.0.22549</vt:lpwstr>
  </property>
</Properties>
</file>